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odels\OptimalPV_RH\"/>
    </mc:Choice>
  </mc:AlternateContent>
  <bookViews>
    <workbookView xWindow="0" yWindow="0" windowWidth="21570" windowHeight="9405" activeTab="1"/>
  </bookViews>
  <sheets>
    <sheet name="timing_marks" sheetId="1" r:id="rId1"/>
    <sheet name="excel_format_conversion" sheetId="2" r:id="rId2"/>
  </sheets>
  <calcPr calcId="162913"/>
</workbook>
</file>

<file path=xl/calcChain.xml><?xml version="1.0" encoding="utf-8"?>
<calcChain xmlns="http://schemas.openxmlformats.org/spreadsheetml/2006/main">
  <c r="F55" i="2" l="1"/>
  <c r="A6" i="2" l="1"/>
  <c r="B6" i="2"/>
  <c r="C6" i="2"/>
  <c r="D6" i="2"/>
  <c r="E6" i="2"/>
  <c r="A7" i="2"/>
  <c r="B7" i="2"/>
  <c r="C7" i="2"/>
  <c r="D7" i="2"/>
  <c r="E7" i="2"/>
  <c r="A8" i="2"/>
  <c r="B8" i="2"/>
  <c r="C8" i="2"/>
  <c r="D8" i="2"/>
  <c r="E8" i="2"/>
  <c r="A9" i="2"/>
  <c r="B9" i="2"/>
  <c r="C9" i="2"/>
  <c r="D9" i="2"/>
  <c r="E9" i="2"/>
  <c r="A10" i="2"/>
  <c r="B10" i="2"/>
  <c r="C10" i="2"/>
  <c r="D10" i="2"/>
  <c r="E10" i="2"/>
  <c r="A11" i="2"/>
  <c r="B11" i="2"/>
  <c r="C11" i="2"/>
  <c r="D11" i="2"/>
  <c r="E11" i="2"/>
  <c r="A12" i="2"/>
  <c r="B12" i="2"/>
  <c r="C12" i="2"/>
  <c r="D12" i="2"/>
  <c r="E12" i="2"/>
  <c r="A13" i="2"/>
  <c r="B13" i="2"/>
  <c r="C13" i="2"/>
  <c r="D13" i="2"/>
  <c r="E13" i="2"/>
  <c r="A14" i="2"/>
  <c r="B14" i="2"/>
  <c r="C14" i="2"/>
  <c r="D14" i="2"/>
  <c r="E14" i="2"/>
  <c r="A15" i="2"/>
  <c r="B15" i="2"/>
  <c r="C15" i="2"/>
  <c r="D15" i="2"/>
  <c r="E15" i="2"/>
  <c r="A16" i="2"/>
  <c r="B16" i="2"/>
  <c r="C16" i="2"/>
  <c r="D16" i="2"/>
  <c r="E16" i="2"/>
  <c r="A17" i="2"/>
  <c r="B17" i="2"/>
  <c r="C17" i="2"/>
  <c r="D17" i="2"/>
  <c r="E17" i="2"/>
  <c r="A18" i="2"/>
  <c r="B18" i="2"/>
  <c r="C18" i="2"/>
  <c r="D18" i="2"/>
  <c r="E18" i="2"/>
  <c r="A19" i="2"/>
  <c r="B19" i="2"/>
  <c r="C19" i="2"/>
  <c r="D19" i="2"/>
  <c r="E19" i="2"/>
  <c r="A20" i="2"/>
  <c r="B20" i="2"/>
  <c r="C20" i="2"/>
  <c r="D20" i="2"/>
  <c r="E20" i="2"/>
  <c r="A21" i="2"/>
  <c r="B21" i="2"/>
  <c r="C21" i="2"/>
  <c r="D21" i="2"/>
  <c r="E21" i="2"/>
  <c r="A22" i="2"/>
  <c r="B22" i="2"/>
  <c r="C22" i="2"/>
  <c r="D22" i="2"/>
  <c r="E22" i="2"/>
  <c r="A23" i="2"/>
  <c r="B23" i="2"/>
  <c r="C23" i="2"/>
  <c r="D23" i="2"/>
  <c r="E23" i="2"/>
  <c r="A24" i="2"/>
  <c r="B24" i="2"/>
  <c r="C24" i="2"/>
  <c r="D24" i="2"/>
  <c r="E24" i="2"/>
  <c r="A25" i="2"/>
  <c r="B25" i="2"/>
  <c r="C25" i="2"/>
  <c r="F25" i="2" s="1"/>
  <c r="D25" i="2"/>
  <c r="E25" i="2"/>
  <c r="A26" i="2"/>
  <c r="B26" i="2"/>
  <c r="C26" i="2"/>
  <c r="D26" i="2"/>
  <c r="E26" i="2"/>
  <c r="A27" i="2"/>
  <c r="B27" i="2"/>
  <c r="C27" i="2"/>
  <c r="D27" i="2"/>
  <c r="E27" i="2"/>
  <c r="A28" i="2"/>
  <c r="B28" i="2"/>
  <c r="C28" i="2"/>
  <c r="D28" i="2"/>
  <c r="E28" i="2"/>
  <c r="A29" i="2"/>
  <c r="B29" i="2"/>
  <c r="C29" i="2"/>
  <c r="D29" i="2"/>
  <c r="E29" i="2"/>
  <c r="A30" i="2"/>
  <c r="B30" i="2"/>
  <c r="C30" i="2"/>
  <c r="D30" i="2"/>
  <c r="E30" i="2"/>
  <c r="A31" i="2"/>
  <c r="B31" i="2"/>
  <c r="C31" i="2"/>
  <c r="D31" i="2"/>
  <c r="E31" i="2"/>
  <c r="A32" i="2"/>
  <c r="B32" i="2"/>
  <c r="C32" i="2"/>
  <c r="D32" i="2"/>
  <c r="E32" i="2"/>
  <c r="A33" i="2"/>
  <c r="B33" i="2"/>
  <c r="C33" i="2"/>
  <c r="D33" i="2"/>
  <c r="E33" i="2"/>
  <c r="A34" i="2"/>
  <c r="B34" i="2"/>
  <c r="C34" i="2"/>
  <c r="D34" i="2"/>
  <c r="E34" i="2"/>
  <c r="A35" i="2"/>
  <c r="B35" i="2"/>
  <c r="C35" i="2"/>
  <c r="D35" i="2"/>
  <c r="E35" i="2"/>
  <c r="A36" i="2"/>
  <c r="B36" i="2"/>
  <c r="C36" i="2"/>
  <c r="D36" i="2"/>
  <c r="E36" i="2"/>
  <c r="A37" i="2"/>
  <c r="B37" i="2"/>
  <c r="C37" i="2"/>
  <c r="D37" i="2"/>
  <c r="E37" i="2"/>
  <c r="A38" i="2"/>
  <c r="B38" i="2"/>
  <c r="C38" i="2"/>
  <c r="D38" i="2"/>
  <c r="E38" i="2"/>
  <c r="A39" i="2"/>
  <c r="B39" i="2"/>
  <c r="C39" i="2"/>
  <c r="D39" i="2"/>
  <c r="E39" i="2"/>
  <c r="A40" i="2"/>
  <c r="B40" i="2"/>
  <c r="C40" i="2"/>
  <c r="D40" i="2"/>
  <c r="E40" i="2"/>
  <c r="A41" i="2"/>
  <c r="B41" i="2"/>
  <c r="C41" i="2"/>
  <c r="D41" i="2"/>
  <c r="E41" i="2"/>
  <c r="A42" i="2"/>
  <c r="B42" i="2"/>
  <c r="C42" i="2"/>
  <c r="D42" i="2"/>
  <c r="E42" i="2"/>
  <c r="A43" i="2"/>
  <c r="B43" i="2"/>
  <c r="C43" i="2"/>
  <c r="D43" i="2"/>
  <c r="E43" i="2"/>
  <c r="A44" i="2"/>
  <c r="B44" i="2"/>
  <c r="C44" i="2"/>
  <c r="D44" i="2"/>
  <c r="E44" i="2"/>
  <c r="A45" i="2"/>
  <c r="B45" i="2"/>
  <c r="C45" i="2"/>
  <c r="D45" i="2"/>
  <c r="E45" i="2"/>
  <c r="A46" i="2"/>
  <c r="B46" i="2"/>
  <c r="C46" i="2"/>
  <c r="D46" i="2"/>
  <c r="E46" i="2"/>
  <c r="A47" i="2"/>
  <c r="B47" i="2"/>
  <c r="C47" i="2"/>
  <c r="D47" i="2"/>
  <c r="E47" i="2"/>
  <c r="A48" i="2"/>
  <c r="B48" i="2"/>
  <c r="C48" i="2"/>
  <c r="D48" i="2"/>
  <c r="E48" i="2"/>
  <c r="A49" i="2"/>
  <c r="B49" i="2"/>
  <c r="C49" i="2"/>
  <c r="D49" i="2"/>
  <c r="E49" i="2"/>
  <c r="A50" i="2"/>
  <c r="B50" i="2"/>
  <c r="C50" i="2"/>
  <c r="D50" i="2"/>
  <c r="E50" i="2"/>
  <c r="A51" i="2"/>
  <c r="B51" i="2"/>
  <c r="C51" i="2"/>
  <c r="D51" i="2"/>
  <c r="E51" i="2"/>
  <c r="A52" i="2"/>
  <c r="B52" i="2"/>
  <c r="C52" i="2"/>
  <c r="D52" i="2"/>
  <c r="E52" i="2"/>
  <c r="A53" i="2"/>
  <c r="B53" i="2"/>
  <c r="C53" i="2"/>
  <c r="D53" i="2"/>
  <c r="E53" i="2"/>
  <c r="A54" i="2"/>
  <c r="B54" i="2"/>
  <c r="C54" i="2"/>
  <c r="D54" i="2"/>
  <c r="E54" i="2"/>
  <c r="A55" i="2"/>
  <c r="B55" i="2"/>
  <c r="C55" i="2"/>
  <c r="D55" i="2"/>
  <c r="E55" i="2"/>
  <c r="A56" i="2"/>
  <c r="B56" i="2"/>
  <c r="C56" i="2"/>
  <c r="D56" i="2"/>
  <c r="E56" i="2"/>
  <c r="A57" i="2"/>
  <c r="B57" i="2"/>
  <c r="C57" i="2"/>
  <c r="F57" i="2" s="1"/>
  <c r="D57" i="2"/>
  <c r="E57" i="2"/>
  <c r="A58" i="2"/>
  <c r="B58" i="2"/>
  <c r="C58" i="2"/>
  <c r="D58" i="2"/>
  <c r="E58" i="2"/>
  <c r="A59" i="2"/>
  <c r="B59" i="2"/>
  <c r="C59" i="2"/>
  <c r="D59" i="2"/>
  <c r="E59" i="2"/>
  <c r="A60" i="2"/>
  <c r="B60" i="2"/>
  <c r="C60" i="2"/>
  <c r="D60" i="2"/>
  <c r="E60" i="2"/>
  <c r="A61" i="2"/>
  <c r="B61" i="2"/>
  <c r="C61" i="2"/>
  <c r="D61" i="2"/>
  <c r="E61" i="2"/>
  <c r="A2" i="2"/>
  <c r="B2" i="2"/>
  <c r="C2" i="2"/>
  <c r="D2" i="2"/>
  <c r="E2" i="2"/>
  <c r="A3" i="2"/>
  <c r="B3" i="2"/>
  <c r="C3" i="2"/>
  <c r="D3" i="2"/>
  <c r="E3" i="2"/>
  <c r="A4" i="2"/>
  <c r="B4" i="2"/>
  <c r="C4" i="2"/>
  <c r="D4" i="2"/>
  <c r="E4" i="2"/>
  <c r="A5" i="2"/>
  <c r="B5" i="2"/>
  <c r="C5" i="2"/>
  <c r="D5" i="2"/>
  <c r="E5" i="2"/>
  <c r="E1" i="2"/>
  <c r="D1" i="2"/>
  <c r="C1" i="2"/>
  <c r="B1" i="2"/>
  <c r="A1" i="2"/>
  <c r="F23" i="2" l="1"/>
  <c r="F7" i="2"/>
  <c r="F61" i="2"/>
  <c r="G10" i="2"/>
  <c r="F19" i="2"/>
  <c r="F37" i="2"/>
  <c r="F56" i="2"/>
  <c r="F40" i="2"/>
  <c r="F24" i="2"/>
  <c r="F30" i="2"/>
  <c r="F28" i="2"/>
  <c r="G59" i="2"/>
  <c r="F38" i="2"/>
  <c r="G51" i="2"/>
  <c r="F41" i="2"/>
  <c r="F33" i="2"/>
  <c r="G50" i="2"/>
  <c r="G32" i="2"/>
  <c r="G15" i="2"/>
  <c r="G3" i="2"/>
  <c r="G35" i="2"/>
  <c r="G18" i="2"/>
  <c r="G4" i="2"/>
  <c r="G44" i="2"/>
  <c r="F43" i="2"/>
  <c r="G21" i="2"/>
  <c r="G27" i="2"/>
  <c r="F49" i="2"/>
  <c r="F59" i="2"/>
  <c r="F58" i="2"/>
  <c r="G47" i="2"/>
  <c r="G25" i="2"/>
  <c r="F17" i="2"/>
  <c r="F9" i="2"/>
  <c r="G5" i="2"/>
  <c r="F60" i="2"/>
  <c r="G53" i="2"/>
  <c r="G29" i="2"/>
  <c r="G26" i="2"/>
  <c r="G12" i="2"/>
  <c r="G11" i="2"/>
  <c r="G8" i="2"/>
  <c r="G60" i="2"/>
  <c r="G54" i="2"/>
  <c r="F48" i="2"/>
  <c r="G39" i="2"/>
  <c r="G36" i="2"/>
  <c r="G49" i="2"/>
  <c r="G42" i="2"/>
  <c r="G61" i="2"/>
  <c r="F44" i="2"/>
  <c r="F6" i="2"/>
  <c r="G33" i="2"/>
  <c r="F53" i="2"/>
  <c r="G52" i="2"/>
  <c r="G43" i="2"/>
  <c r="G40" i="2"/>
  <c r="G37" i="2"/>
  <c r="F35" i="2"/>
  <c r="F34" i="2"/>
  <c r="G22" i="2"/>
  <c r="F16" i="2"/>
  <c r="F13" i="2"/>
  <c r="F32" i="2"/>
  <c r="F31" i="2"/>
  <c r="G28" i="2"/>
  <c r="G19" i="2"/>
  <c r="F11" i="2"/>
  <c r="F8" i="2"/>
  <c r="G7" i="2"/>
  <c r="G58" i="2"/>
  <c r="F5" i="2"/>
  <c r="F21" i="2"/>
  <c r="G20" i="2"/>
  <c r="F15" i="2"/>
  <c r="F12" i="2"/>
  <c r="G57" i="2"/>
  <c r="G17" i="2"/>
  <c r="F51" i="2"/>
  <c r="F45" i="2"/>
  <c r="F42" i="2"/>
  <c r="F36" i="2"/>
  <c r="F29" i="2"/>
  <c r="F10" i="2"/>
  <c r="G56" i="2"/>
  <c r="G48" i="2"/>
  <c r="G24" i="2"/>
  <c r="G16" i="2"/>
  <c r="G34" i="2"/>
  <c r="F46" i="2"/>
  <c r="F14" i="2"/>
  <c r="G55" i="2"/>
  <c r="G31" i="2"/>
  <c r="G23" i="2"/>
  <c r="F39" i="2"/>
  <c r="G41" i="2"/>
  <c r="G9" i="2"/>
  <c r="F4" i="2"/>
  <c r="F50" i="2"/>
  <c r="G46" i="2"/>
  <c r="G38" i="2"/>
  <c r="G30" i="2"/>
  <c r="G14" i="2"/>
  <c r="G6" i="2"/>
  <c r="F47" i="2"/>
  <c r="F54" i="2"/>
  <c r="F22" i="2"/>
  <c r="G45" i="2"/>
  <c r="G13" i="2"/>
  <c r="F18" i="2"/>
  <c r="F52" i="2"/>
  <c r="F27" i="2"/>
  <c r="F26" i="2"/>
  <c r="F20" i="2"/>
  <c r="F3" i="2"/>
</calcChain>
</file>

<file path=xl/sharedStrings.xml><?xml version="1.0" encoding="utf-8"?>
<sst xmlns="http://schemas.openxmlformats.org/spreadsheetml/2006/main" count="276" uniqueCount="146">
  <si>
    <t>step</t>
  </si>
  <si>
    <t>substep</t>
  </si>
  <si>
    <t>timestamp</t>
  </si>
  <si>
    <t>runtime</t>
  </si>
  <si>
    <t>descr</t>
  </si>
  <si>
    <t>init</t>
  </si>
  <si>
    <t>start_create_topo</t>
  </si>
  <si>
    <t>2025-05-20 01:48:49.571821</t>
  </si>
  <si>
    <t>-</t>
  </si>
  <si>
    <t>end_create_topo</t>
  </si>
  <si>
    <t>2025-05-20 01:50:09.277964</t>
  </si>
  <si>
    <t xml:space="preserve"> 0:01:19.706</t>
  </si>
  <si>
    <t>start_calc_economics</t>
  </si>
  <si>
    <t>2025-05-20 01:50:09.280125</t>
  </si>
  <si>
    <t>end_calc_economics</t>
  </si>
  <si>
    <t>2025-05-20 01:54:00.339479</t>
  </si>
  <si>
    <t xml:space="preserve"> 0:03:51.059</t>
  </si>
  <si>
    <t>start_sanity_check</t>
  </si>
  <si>
    <t>2025-05-20 01:54:00.344107</t>
  </si>
  <si>
    <t>end_sanity_check_allocation</t>
  </si>
  <si>
    <t>2025-05-20 01:57:50.837798</t>
  </si>
  <si>
    <t xml:space="preserve"> 0:03:46.644</t>
  </si>
  <si>
    <t>end_sanity_check_summary_by_EGID</t>
  </si>
  <si>
    <t>2025-05-20 01:57:50.995695</t>
  </si>
  <si>
    <t xml:space="preserve"> 0:00:00.154</t>
  </si>
  <si>
    <t>end_sanity_check_export_spatial_data</t>
  </si>
  <si>
    <t>2025-05-20 01:59:00.493632</t>
  </si>
  <si>
    <t xml:space="preserve"> 0:01:09.494</t>
  </si>
  <si>
    <t>end_sanity_check</t>
  </si>
  <si>
    <t>2025-05-20 01:59:00.496010</t>
  </si>
  <si>
    <t xml:space="preserve"> 0:05:00.151</t>
  </si>
  <si>
    <t>MCalgo</t>
  </si>
  <si>
    <t>START_MC_algo</t>
  </si>
  <si>
    <t>2025-05-20 01:59:00.560781</t>
  </si>
  <si>
    <t>start_MC_iter_1</t>
  </si>
  <si>
    <t>2025-05-20 01:59:00.563473</t>
  </si>
  <si>
    <t>end update_gridprem_1</t>
  </si>
  <si>
    <t>2025-05-20 01:59:27.563163</t>
  </si>
  <si>
    <t xml:space="preserve"> 0:00:26.239</t>
  </si>
  <si>
    <t>end update_npv_1</t>
  </si>
  <si>
    <t>2025-05-20 02:00:53.541822</t>
  </si>
  <si>
    <t xml:space="preserve"> 0:01:25.974</t>
  </si>
  <si>
    <t>end inst_whileloop_1</t>
  </si>
  <si>
    <t>2025-05-20 02:00:54.245694</t>
  </si>
  <si>
    <t xml:space="preserve"> 0:00:00.698</t>
  </si>
  <si>
    <t>end update_gridprem_2</t>
  </si>
  <si>
    <t>2025-05-20 02:01:20.411432</t>
  </si>
  <si>
    <t xml:space="preserve"> 0:00:26.162</t>
  </si>
  <si>
    <t>end update_npv_2</t>
  </si>
  <si>
    <t>2025-05-20 02:02:46.353774</t>
  </si>
  <si>
    <t xml:space="preserve"> 0:01:25.939</t>
  </si>
  <si>
    <t>end inst_whileloop_2</t>
  </si>
  <si>
    <t>2025-05-20 02:02:47.059059</t>
  </si>
  <si>
    <t xml:space="preserve"> 0:00:00.699</t>
  </si>
  <si>
    <t>end update_gridprem_3</t>
  </si>
  <si>
    <t>2025-05-20 02:03:13.468232</t>
  </si>
  <si>
    <t xml:space="preserve"> 0:00:26.406</t>
  </si>
  <si>
    <t>end update_npv_3</t>
  </si>
  <si>
    <t>2025-05-20 02:04:39.565708</t>
  </si>
  <si>
    <t xml:space="preserve"> 0:01:26.094</t>
  </si>
  <si>
    <t>end inst_whileloop_3</t>
  </si>
  <si>
    <t>2025-05-20 02:04:40.346237</t>
  </si>
  <si>
    <t xml:space="preserve"> 0:00:00.775</t>
  </si>
  <si>
    <t>end update_gridprem_4</t>
  </si>
  <si>
    <t>2025-05-20 02:05:07.201475</t>
  </si>
  <si>
    <t xml:space="preserve"> 0:00:26.851</t>
  </si>
  <si>
    <t>end update_npv_4</t>
  </si>
  <si>
    <t>2025-05-20 02:06:33.254016</t>
  </si>
  <si>
    <t xml:space="preserve"> 0:01:26.047</t>
  </si>
  <si>
    <t>end inst_whileloop_4</t>
  </si>
  <si>
    <t>2025-05-20 02:06:33.981801</t>
  </si>
  <si>
    <t xml:space="preserve"> 0:00:00.722</t>
  </si>
  <si>
    <t>end update_gridprem_5</t>
  </si>
  <si>
    <t>2025-05-20 02:07:00.943312</t>
  </si>
  <si>
    <t xml:space="preserve"> 0:00:26.958</t>
  </si>
  <si>
    <t>end update_npv_5</t>
  </si>
  <si>
    <t>2025-05-20 02:08:26.883609</t>
  </si>
  <si>
    <t xml:space="preserve"> 0:01:25.937</t>
  </si>
  <si>
    <t>end inst_whileloop_5</t>
  </si>
  <si>
    <t>2025-05-20 02:08:27.575767</t>
  </si>
  <si>
    <t xml:space="preserve"> 0:00:00.686</t>
  </si>
  <si>
    <t>2025-05-20 02:08:28.256752</t>
  </si>
  <si>
    <t xml:space="preserve"> 0:00:01.367</t>
  </si>
  <si>
    <t>end update_gridprem_6</t>
  </si>
  <si>
    <t>2025-05-20 02:08:55.266455</t>
  </si>
  <si>
    <t xml:space="preserve"> 0:00:27.006</t>
  </si>
  <si>
    <t>end update_npv_6</t>
  </si>
  <si>
    <t>2025-05-20 02:10:21.328809</t>
  </si>
  <si>
    <t xml:space="preserve"> 0:01:26.057</t>
  </si>
  <si>
    <t>end inst_whileloop_6</t>
  </si>
  <si>
    <t>2025-05-20 02:10:22.016762</t>
  </si>
  <si>
    <t xml:space="preserve"> 0:00:00.681</t>
  </si>
  <si>
    <t>2025-05-20 02:10:22.701430</t>
  </si>
  <si>
    <t xml:space="preserve"> 0:00:01.366</t>
  </si>
  <si>
    <t>end_MC_iter_1</t>
  </si>
  <si>
    <t>2025-05-20 05:45:55.534313</t>
  </si>
  <si>
    <t xml:space="preserve"> 3:46:54.970</t>
  </si>
  <si>
    <t>start_MC_iter_2</t>
  </si>
  <si>
    <t>2025-05-20 05:45:55.538365</t>
  </si>
  <si>
    <t>2025-05-20 05:46:23.117231</t>
  </si>
  <si>
    <t xml:space="preserve"> 0:00:26.846</t>
  </si>
  <si>
    <t>2025-05-20 05:47:49.156774</t>
  </si>
  <si>
    <t xml:space="preserve"> 0:01:26.036</t>
  </si>
  <si>
    <t>2025-05-20 05:47:49.817635</t>
  </si>
  <si>
    <t xml:space="preserve"> 0:00:00.655</t>
  </si>
  <si>
    <t>2025-05-20 05:48:15.567923</t>
  </si>
  <si>
    <t xml:space="preserve"> 0:00:25.747</t>
  </si>
  <si>
    <t>2025-05-20 05:49:40.158792</t>
  </si>
  <si>
    <t xml:space="preserve"> 0:01:24.586</t>
  </si>
  <si>
    <t>2025-05-20 05:49:40.800804</t>
  </si>
  <si>
    <t xml:space="preserve"> 0:00:00.633</t>
  </si>
  <si>
    <t>2025-05-20 05:50:06.733187</t>
  </si>
  <si>
    <t xml:space="preserve"> 0:00:25.929</t>
  </si>
  <si>
    <t>2025-05-20 05:51:32.301764</t>
  </si>
  <si>
    <t xml:space="preserve"> 0:01:25.564</t>
  </si>
  <si>
    <t>2025-05-20 05:51:32.944714</t>
  </si>
  <si>
    <t xml:space="preserve"> 0:00:00.637</t>
  </si>
  <si>
    <t>2025-05-20 05:51:59.220492</t>
  </si>
  <si>
    <t xml:space="preserve"> 0:00:26.272</t>
  </si>
  <si>
    <t>2025-05-20 05:53:24.083611</t>
  </si>
  <si>
    <t xml:space="preserve"> 0:01:24.860</t>
  </si>
  <si>
    <t>2025-05-20 05:53:24.745864</t>
  </si>
  <si>
    <t xml:space="preserve"> 0:00:00.657</t>
  </si>
  <si>
    <t>2025-05-20 05:53:50.911826</t>
  </si>
  <si>
    <t xml:space="preserve"> 0:00:26.163</t>
  </si>
  <si>
    <t>2025-05-20 05:55:16.664992</t>
  </si>
  <si>
    <t xml:space="preserve"> 0:01:25.749</t>
  </si>
  <si>
    <t>2025-05-20 05:55:17.396260</t>
  </si>
  <si>
    <t xml:space="preserve"> 0:00:00.726</t>
  </si>
  <si>
    <t>2025-05-20 05:55:18.026516</t>
  </si>
  <si>
    <t xml:space="preserve"> 0:00:01.356</t>
  </si>
  <si>
    <t>2025-05-20 05:55:44.435034</t>
  </si>
  <si>
    <t xml:space="preserve"> 0:00:26.405</t>
  </si>
  <si>
    <t>2025-05-20 05:57:09.769593</t>
  </si>
  <si>
    <t xml:space="preserve"> 0:01:25.330</t>
  </si>
  <si>
    <t>2025-05-20 05:57:10.481407</t>
  </si>
  <si>
    <t xml:space="preserve"> 0:00:00.707</t>
  </si>
  <si>
    <t>2025-05-20 05:57:11.125502</t>
  </si>
  <si>
    <t xml:space="preserve"> 0:00:01.351</t>
  </si>
  <si>
    <t>end_MC_iter_2</t>
  </si>
  <si>
    <t>2025-05-20 09:33:20.781043</t>
  </si>
  <si>
    <t xml:space="preserve"> 3:47:25.242</t>
  </si>
  <si>
    <t>END_MC_algo</t>
  </si>
  <si>
    <t xml:space="preserve"> 7:34:20.224</t>
  </si>
  <si>
    <t>timestamp_to_TIME</t>
  </si>
  <si>
    <t>cum_runtime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</si>
</sst>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0" fillId="33" borderId="0" xfId="0" applyFill="1"/>
    <xf numFmtId="18" fontId="0" fillId="33" borderId="0" xfId="0" applyNumberFormat="1" applyFill="1"/>
    <xf numFmtId="164" fontId="0" fillId="33" borderId="0" xfId="0" applyNumberFormat="1" applyFill="1"/>
    <xf numFmtId="0" fontId="0" fillId="0" borderId="0" xfId="0" applyFill="1"/>
    <xf numFmtId="164" fontId="0" fillId="34" borderId="0" xfId="0" applyNumberFormat="1" applyFill="1"/>
    <xf numFmtId="0" fontId="16" fillId="33" borderId="0" xfId="0" applyFont="1" applyFill="1"/>
    <xf numFmtId="164" fontId="16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excel_format_conversion!$F$3:$F$55</c:f>
              <c:numCache>
                <c:formatCode>[$-F400]h:mm:ss\ AM/PM</c:formatCode>
                <c:ptCount val="53"/>
                <c:pt idx="0">
                  <c:v>9.2592592592592726E-4</c:v>
                </c:pt>
                <c:pt idx="1">
                  <c:v>0</c:v>
                </c:pt>
                <c:pt idx="2">
                  <c:v>2.6736111111110988E-3</c:v>
                </c:pt>
                <c:pt idx="3">
                  <c:v>0</c:v>
                </c:pt>
                <c:pt idx="4">
                  <c:v>2.6620370370370461E-3</c:v>
                </c:pt>
                <c:pt idx="5">
                  <c:v>0</c:v>
                </c:pt>
                <c:pt idx="6">
                  <c:v>8.1018518518517768E-4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3.1249999999999334E-4</c:v>
                </c:pt>
                <c:pt idx="11">
                  <c:v>9.9537037037038256E-4</c:v>
                </c:pt>
                <c:pt idx="12">
                  <c:v>1.1574074074080509E-5</c:v>
                </c:pt>
                <c:pt idx="13">
                  <c:v>3.0092592592591283E-4</c:v>
                </c:pt>
                <c:pt idx="14">
                  <c:v>9.9537037037038256E-4</c:v>
                </c:pt>
                <c:pt idx="15">
                  <c:v>1.1574074074066631E-5</c:v>
                </c:pt>
                <c:pt idx="16">
                  <c:v>3.0092592592592671E-4</c:v>
                </c:pt>
                <c:pt idx="17">
                  <c:v>9.9537037037036868E-4</c:v>
                </c:pt>
                <c:pt idx="18">
                  <c:v>1.1574074074080509E-5</c:v>
                </c:pt>
                <c:pt idx="19">
                  <c:v>3.1249999999999334E-4</c:v>
                </c:pt>
                <c:pt idx="20">
                  <c:v>9.9537037037038256E-4</c:v>
                </c:pt>
                <c:pt idx="21">
                  <c:v>0</c:v>
                </c:pt>
                <c:pt idx="22">
                  <c:v>3.1249999999999334E-4</c:v>
                </c:pt>
                <c:pt idx="23">
                  <c:v>9.9537037037036868E-4</c:v>
                </c:pt>
                <c:pt idx="24">
                  <c:v>1.1574074074066631E-5</c:v>
                </c:pt>
                <c:pt idx="25">
                  <c:v>1.1574074074066631E-5</c:v>
                </c:pt>
                <c:pt idx="26">
                  <c:v>3.1250000000002109E-4</c:v>
                </c:pt>
                <c:pt idx="27">
                  <c:v>9.9537037037035481E-4</c:v>
                </c:pt>
                <c:pt idx="28">
                  <c:v>1.1574074074080509E-5</c:v>
                </c:pt>
                <c:pt idx="29">
                  <c:v>0</c:v>
                </c:pt>
                <c:pt idx="30">
                  <c:v>0.14968749999999997</c:v>
                </c:pt>
                <c:pt idx="31">
                  <c:v>0</c:v>
                </c:pt>
                <c:pt idx="32">
                  <c:v>3.2407407407408773E-4</c:v>
                </c:pt>
                <c:pt idx="33">
                  <c:v>9.9537037037036868E-4</c:v>
                </c:pt>
                <c:pt idx="34">
                  <c:v>0</c:v>
                </c:pt>
                <c:pt idx="35">
                  <c:v>3.0092592592595446E-4</c:v>
                </c:pt>
                <c:pt idx="36">
                  <c:v>9.8379629629624654E-4</c:v>
                </c:pt>
                <c:pt idx="37">
                  <c:v>0</c:v>
                </c:pt>
                <c:pt idx="38">
                  <c:v>3.0092592592595446E-4</c:v>
                </c:pt>
                <c:pt idx="39">
                  <c:v>9.9537037037036868E-4</c:v>
                </c:pt>
                <c:pt idx="40">
                  <c:v>0</c:v>
                </c:pt>
                <c:pt idx="41">
                  <c:v>3.1249999999996558E-4</c:v>
                </c:pt>
                <c:pt idx="42">
                  <c:v>9.8379629629630205E-4</c:v>
                </c:pt>
                <c:pt idx="43">
                  <c:v>0</c:v>
                </c:pt>
                <c:pt idx="44">
                  <c:v>3.0092592592595446E-4</c:v>
                </c:pt>
                <c:pt idx="45">
                  <c:v>9.9537037037036868E-4</c:v>
                </c:pt>
                <c:pt idx="46">
                  <c:v>1.1574074074066631E-5</c:v>
                </c:pt>
                <c:pt idx="47">
                  <c:v>1.1574074074094387E-5</c:v>
                </c:pt>
                <c:pt idx="48">
                  <c:v>3.0092592592589895E-4</c:v>
                </c:pt>
                <c:pt idx="49">
                  <c:v>9.8379629629630205E-4</c:v>
                </c:pt>
                <c:pt idx="50">
                  <c:v>1.1574074074066631E-5</c:v>
                </c:pt>
                <c:pt idx="51">
                  <c:v>1.1574074074066631E-5</c:v>
                </c:pt>
                <c:pt idx="52">
                  <c:v>0.15010416666666668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B6-4DE1-975F-C0BC3077658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excel_format_conversion!$G$3:$G$55</c:f>
              <c:numCache>
                <c:formatCode>[$-F400]h:mm:ss\ AM/PM</c:formatCode>
                <c:ptCount val="53"/>
                <c:pt idx="0">
                  <c:v>9.2592592592592726E-4</c:v>
                </c:pt>
                <c:pt idx="1">
                  <c:v>9.2592592592592726E-4</c:v>
                </c:pt>
                <c:pt idx="2">
                  <c:v>3.5995370370370261E-3</c:v>
                </c:pt>
                <c:pt idx="3">
                  <c:v>3.5995370370370261E-3</c:v>
                </c:pt>
                <c:pt idx="4">
                  <c:v>6.2615740740740722E-3</c:v>
                </c:pt>
                <c:pt idx="5">
                  <c:v>6.2615740740740722E-3</c:v>
                </c:pt>
                <c:pt idx="6">
                  <c:v>7.0717592592592499E-3</c:v>
                </c:pt>
                <c:pt idx="7">
                  <c:v>7.0717592592592499E-3</c:v>
                </c:pt>
                <c:pt idx="8">
                  <c:v>7.0717592592592499E-3</c:v>
                </c:pt>
                <c:pt idx="9">
                  <c:v>7.0717592592592499E-3</c:v>
                </c:pt>
                <c:pt idx="10">
                  <c:v>7.3842592592592432E-3</c:v>
                </c:pt>
                <c:pt idx="11">
                  <c:v>8.3796296296296258E-3</c:v>
                </c:pt>
                <c:pt idx="12">
                  <c:v>8.3912037037037063E-3</c:v>
                </c:pt>
                <c:pt idx="13">
                  <c:v>8.6921296296296191E-3</c:v>
                </c:pt>
                <c:pt idx="14">
                  <c:v>9.6875000000000017E-3</c:v>
                </c:pt>
                <c:pt idx="15">
                  <c:v>9.6990740740740683E-3</c:v>
                </c:pt>
                <c:pt idx="16">
                  <c:v>9.999999999999995E-3</c:v>
                </c:pt>
                <c:pt idx="17">
                  <c:v>1.0995370370370364E-2</c:v>
                </c:pt>
                <c:pt idx="18">
                  <c:v>1.1006944444444444E-2</c:v>
                </c:pt>
                <c:pt idx="19">
                  <c:v>1.1319444444444438E-2</c:v>
                </c:pt>
                <c:pt idx="20">
                  <c:v>1.231481481481482E-2</c:v>
                </c:pt>
                <c:pt idx="21">
                  <c:v>1.231481481481482E-2</c:v>
                </c:pt>
                <c:pt idx="22">
                  <c:v>1.2627314814814813E-2</c:v>
                </c:pt>
                <c:pt idx="23">
                  <c:v>1.3622685185185182E-2</c:v>
                </c:pt>
                <c:pt idx="24">
                  <c:v>1.3634259259259249E-2</c:v>
                </c:pt>
                <c:pt idx="25">
                  <c:v>1.3645833333333315E-2</c:v>
                </c:pt>
                <c:pt idx="26">
                  <c:v>1.3958333333333336E-2</c:v>
                </c:pt>
                <c:pt idx="27">
                  <c:v>1.4953703703703691E-2</c:v>
                </c:pt>
                <c:pt idx="28">
                  <c:v>1.4965277777777772E-2</c:v>
                </c:pt>
                <c:pt idx="29">
                  <c:v>1.4965277777777772E-2</c:v>
                </c:pt>
                <c:pt idx="30">
                  <c:v>0.16465277777777776</c:v>
                </c:pt>
                <c:pt idx="31">
                  <c:v>0.16465277777777776</c:v>
                </c:pt>
                <c:pt idx="32">
                  <c:v>0.16497685185185185</c:v>
                </c:pt>
                <c:pt idx="33">
                  <c:v>0.16597222222222222</c:v>
                </c:pt>
                <c:pt idx="34">
                  <c:v>0.16597222222222222</c:v>
                </c:pt>
                <c:pt idx="35">
                  <c:v>0.16627314814814817</c:v>
                </c:pt>
                <c:pt idx="36">
                  <c:v>0.16725694444444442</c:v>
                </c:pt>
                <c:pt idx="37">
                  <c:v>0.16725694444444442</c:v>
                </c:pt>
                <c:pt idx="38">
                  <c:v>0.16755787037037037</c:v>
                </c:pt>
                <c:pt idx="39">
                  <c:v>0.16855324074074074</c:v>
                </c:pt>
                <c:pt idx="40">
                  <c:v>0.16855324074074074</c:v>
                </c:pt>
                <c:pt idx="41">
                  <c:v>0.16886574074074071</c:v>
                </c:pt>
                <c:pt idx="42">
                  <c:v>0.16984953703703701</c:v>
                </c:pt>
                <c:pt idx="43">
                  <c:v>0.16984953703703701</c:v>
                </c:pt>
                <c:pt idx="44">
                  <c:v>0.17015046296296296</c:v>
                </c:pt>
                <c:pt idx="45">
                  <c:v>0.17114583333333333</c:v>
                </c:pt>
                <c:pt idx="46">
                  <c:v>0.1711574074074074</c:v>
                </c:pt>
                <c:pt idx="47">
                  <c:v>0.17116898148148149</c:v>
                </c:pt>
                <c:pt idx="48">
                  <c:v>0.17146990740740739</c:v>
                </c:pt>
                <c:pt idx="49">
                  <c:v>0.17245370370370369</c:v>
                </c:pt>
                <c:pt idx="50">
                  <c:v>0.17246527777777776</c:v>
                </c:pt>
                <c:pt idx="51">
                  <c:v>0.17247685185185183</c:v>
                </c:pt>
                <c:pt idx="52">
                  <c:v>0.3225810185185185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47-4A2D-A23E-3DF4EBEAD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2882880"/>
        <c:axId val="632883208"/>
      </c:lineChart>
      <c:catAx>
        <c:axId val="632882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883208"/>
        <c:crosses val="autoZero"/>
        <c:auto val="1"/>
        <c:lblAlgn val="ctr"/>
        <c:lblOffset val="100"/>
        <c:noMultiLvlLbl val="0"/>
      </c:catAx>
      <c:valAx>
        <c:axId val="632883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88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385762</xdr:colOff>
      <xdr:row>40</xdr:row>
      <xdr:rowOff>104775</xdr:rowOff>
    </xdr:from>
    <xdr:to>
      <xdr:col>15</xdr:col>
      <xdr:colOff>80962</xdr:colOff>
      <xdr:row>54</xdr:row>
      <xdr:rowOff>180975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workbookViewId="0">
      <selection sqref="A1:E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E2" t="s">
        <v>8</v>
      </c>
    </row>
    <row r="3" spans="1:5" x14ac:dyDescent="0.25">
      <c r="A3" t="s">
        <v>5</v>
      </c>
      <c r="B3" t="s">
        <v>9</v>
      </c>
      <c r="C3" t="s">
        <v>10</v>
      </c>
      <c r="D3" t="s">
        <v>11</v>
      </c>
      <c r="E3" t="s">
        <v>8</v>
      </c>
    </row>
    <row r="4" spans="1:5" x14ac:dyDescent="0.25">
      <c r="A4" t="s">
        <v>5</v>
      </c>
      <c r="B4" t="s">
        <v>12</v>
      </c>
      <c r="C4" t="s">
        <v>13</v>
      </c>
      <c r="E4" t="s">
        <v>8</v>
      </c>
    </row>
    <row r="5" spans="1:5" x14ac:dyDescent="0.25">
      <c r="A5" t="s">
        <v>5</v>
      </c>
      <c r="B5" t="s">
        <v>14</v>
      </c>
      <c r="C5" t="s">
        <v>15</v>
      </c>
      <c r="D5" t="s">
        <v>16</v>
      </c>
      <c r="E5" t="s">
        <v>8</v>
      </c>
    </row>
    <row r="6" spans="1:5" x14ac:dyDescent="0.25">
      <c r="A6" t="s">
        <v>5</v>
      </c>
      <c r="B6" t="s">
        <v>17</v>
      </c>
      <c r="C6" t="s">
        <v>18</v>
      </c>
      <c r="E6" t="s">
        <v>8</v>
      </c>
    </row>
    <row r="7" spans="1:5" x14ac:dyDescent="0.25">
      <c r="A7" t="s">
        <v>5</v>
      </c>
      <c r="B7" t="s">
        <v>19</v>
      </c>
      <c r="C7" t="s">
        <v>20</v>
      </c>
      <c r="D7" t="s">
        <v>21</v>
      </c>
      <c r="E7" t="s">
        <v>8</v>
      </c>
    </row>
    <row r="8" spans="1:5" x14ac:dyDescent="0.25">
      <c r="A8" t="s">
        <v>5</v>
      </c>
      <c r="B8" t="s">
        <v>22</v>
      </c>
      <c r="C8" t="s">
        <v>23</v>
      </c>
      <c r="D8" t="s">
        <v>24</v>
      </c>
      <c r="E8" t="s">
        <v>8</v>
      </c>
    </row>
    <row r="9" spans="1:5" x14ac:dyDescent="0.25">
      <c r="A9" t="s">
        <v>5</v>
      </c>
      <c r="B9" t="s">
        <v>25</v>
      </c>
      <c r="C9" t="s">
        <v>26</v>
      </c>
      <c r="D9" t="s">
        <v>27</v>
      </c>
      <c r="E9" t="s">
        <v>8</v>
      </c>
    </row>
    <row r="10" spans="1:5" x14ac:dyDescent="0.25">
      <c r="A10" t="s">
        <v>5</v>
      </c>
      <c r="B10" t="s">
        <v>28</v>
      </c>
      <c r="C10" t="s">
        <v>29</v>
      </c>
      <c r="D10" t="s">
        <v>30</v>
      </c>
      <c r="E10" t="s">
        <v>8</v>
      </c>
    </row>
    <row r="11" spans="1:5" x14ac:dyDescent="0.25">
      <c r="A11" t="s">
        <v>31</v>
      </c>
      <c r="B11" t="s">
        <v>32</v>
      </c>
      <c r="C11" t="s">
        <v>33</v>
      </c>
      <c r="E11" t="s">
        <v>8</v>
      </c>
    </row>
    <row r="12" spans="1:5" x14ac:dyDescent="0.25">
      <c r="A12" t="s">
        <v>31</v>
      </c>
      <c r="B12" t="s">
        <v>34</v>
      </c>
      <c r="C12" t="s">
        <v>35</v>
      </c>
      <c r="E12" t="s">
        <v>8</v>
      </c>
    </row>
    <row r="13" spans="1:5" x14ac:dyDescent="0.25">
      <c r="A13" t="s">
        <v>31</v>
      </c>
      <c r="B13" t="s">
        <v>36</v>
      </c>
      <c r="C13" t="s">
        <v>37</v>
      </c>
      <c r="D13" t="s">
        <v>38</v>
      </c>
      <c r="E13" t="s">
        <v>8</v>
      </c>
    </row>
    <row r="14" spans="1:5" x14ac:dyDescent="0.25">
      <c r="A14" t="s">
        <v>31</v>
      </c>
      <c r="B14" t="s">
        <v>39</v>
      </c>
      <c r="C14" t="s">
        <v>40</v>
      </c>
      <c r="D14" t="s">
        <v>41</v>
      </c>
      <c r="E14" t="s">
        <v>8</v>
      </c>
    </row>
    <row r="15" spans="1:5" x14ac:dyDescent="0.25">
      <c r="A15" t="s">
        <v>31</v>
      </c>
      <c r="B15" t="s">
        <v>42</v>
      </c>
      <c r="C15" t="s">
        <v>43</v>
      </c>
      <c r="D15" t="s">
        <v>44</v>
      </c>
      <c r="E15" t="s">
        <v>8</v>
      </c>
    </row>
    <row r="16" spans="1:5" x14ac:dyDescent="0.25">
      <c r="A16" t="s">
        <v>31</v>
      </c>
      <c r="B16" t="s">
        <v>45</v>
      </c>
      <c r="C16" t="s">
        <v>46</v>
      </c>
      <c r="D16" t="s">
        <v>47</v>
      </c>
      <c r="E16" t="s">
        <v>8</v>
      </c>
    </row>
    <row r="17" spans="1:5" x14ac:dyDescent="0.25">
      <c r="A17" t="s">
        <v>31</v>
      </c>
      <c r="B17" t="s">
        <v>48</v>
      </c>
      <c r="C17" t="s">
        <v>49</v>
      </c>
      <c r="D17" t="s">
        <v>50</v>
      </c>
      <c r="E17" t="s">
        <v>8</v>
      </c>
    </row>
    <row r="18" spans="1:5" x14ac:dyDescent="0.25">
      <c r="A18" t="s">
        <v>31</v>
      </c>
      <c r="B18" t="s">
        <v>51</v>
      </c>
      <c r="C18" t="s">
        <v>52</v>
      </c>
      <c r="D18" t="s">
        <v>53</v>
      </c>
      <c r="E18" t="s">
        <v>8</v>
      </c>
    </row>
    <row r="19" spans="1:5" x14ac:dyDescent="0.25">
      <c r="A19" t="s">
        <v>31</v>
      </c>
      <c r="B19" t="s">
        <v>54</v>
      </c>
      <c r="C19" t="s">
        <v>55</v>
      </c>
      <c r="D19" t="s">
        <v>56</v>
      </c>
      <c r="E19" t="s">
        <v>8</v>
      </c>
    </row>
    <row r="20" spans="1:5" x14ac:dyDescent="0.25">
      <c r="A20" t="s">
        <v>31</v>
      </c>
      <c r="B20" t="s">
        <v>57</v>
      </c>
      <c r="C20" t="s">
        <v>58</v>
      </c>
      <c r="D20" t="s">
        <v>59</v>
      </c>
      <c r="E20" t="s">
        <v>8</v>
      </c>
    </row>
    <row r="21" spans="1:5" x14ac:dyDescent="0.25">
      <c r="A21" t="s">
        <v>31</v>
      </c>
      <c r="B21" t="s">
        <v>60</v>
      </c>
      <c r="C21" t="s">
        <v>61</v>
      </c>
      <c r="D21" t="s">
        <v>62</v>
      </c>
      <c r="E21" t="s">
        <v>8</v>
      </c>
    </row>
    <row r="22" spans="1:5" x14ac:dyDescent="0.25">
      <c r="A22" t="s">
        <v>31</v>
      </c>
      <c r="B22" t="s">
        <v>63</v>
      </c>
      <c r="C22" t="s">
        <v>64</v>
      </c>
      <c r="D22" t="s">
        <v>65</v>
      </c>
      <c r="E22" t="s">
        <v>8</v>
      </c>
    </row>
    <row r="23" spans="1:5" x14ac:dyDescent="0.25">
      <c r="A23" t="s">
        <v>31</v>
      </c>
      <c r="B23" t="s">
        <v>66</v>
      </c>
      <c r="C23" t="s">
        <v>67</v>
      </c>
      <c r="D23" t="s">
        <v>68</v>
      </c>
      <c r="E23" t="s">
        <v>8</v>
      </c>
    </row>
    <row r="24" spans="1:5" x14ac:dyDescent="0.25">
      <c r="A24" t="s">
        <v>31</v>
      </c>
      <c r="B24" t="s">
        <v>69</v>
      </c>
      <c r="C24" t="s">
        <v>70</v>
      </c>
      <c r="D24" t="s">
        <v>71</v>
      </c>
      <c r="E24" t="s">
        <v>8</v>
      </c>
    </row>
    <row r="25" spans="1:5" x14ac:dyDescent="0.25">
      <c r="A25" t="s">
        <v>31</v>
      </c>
      <c r="B25" t="s">
        <v>72</v>
      </c>
      <c r="C25" t="s">
        <v>73</v>
      </c>
      <c r="D25" t="s">
        <v>74</v>
      </c>
      <c r="E25" t="s">
        <v>8</v>
      </c>
    </row>
    <row r="26" spans="1:5" x14ac:dyDescent="0.25">
      <c r="A26" t="s">
        <v>31</v>
      </c>
      <c r="B26" t="s">
        <v>75</v>
      </c>
      <c r="C26" t="s">
        <v>76</v>
      </c>
      <c r="D26" t="s">
        <v>77</v>
      </c>
      <c r="E26" t="s">
        <v>8</v>
      </c>
    </row>
    <row r="27" spans="1:5" x14ac:dyDescent="0.25">
      <c r="A27" t="s">
        <v>31</v>
      </c>
      <c r="B27" t="s">
        <v>78</v>
      </c>
      <c r="C27" t="s">
        <v>79</v>
      </c>
      <c r="D27" t="s">
        <v>80</v>
      </c>
      <c r="E27" t="s">
        <v>8</v>
      </c>
    </row>
    <row r="28" spans="1:5" x14ac:dyDescent="0.25">
      <c r="A28" t="s">
        <v>31</v>
      </c>
      <c r="B28" t="s">
        <v>78</v>
      </c>
      <c r="C28" t="s">
        <v>81</v>
      </c>
      <c r="D28" t="s">
        <v>82</v>
      </c>
      <c r="E28" t="s">
        <v>8</v>
      </c>
    </row>
    <row r="29" spans="1:5" x14ac:dyDescent="0.25">
      <c r="A29" t="s">
        <v>31</v>
      </c>
      <c r="B29" t="s">
        <v>83</v>
      </c>
      <c r="C29" t="s">
        <v>84</v>
      </c>
      <c r="D29" t="s">
        <v>85</v>
      </c>
      <c r="E29" t="s">
        <v>8</v>
      </c>
    </row>
    <row r="30" spans="1:5" x14ac:dyDescent="0.25">
      <c r="A30" t="s">
        <v>31</v>
      </c>
      <c r="B30" t="s">
        <v>86</v>
      </c>
      <c r="C30" t="s">
        <v>87</v>
      </c>
      <c r="D30" t="s">
        <v>88</v>
      </c>
      <c r="E30" t="s">
        <v>8</v>
      </c>
    </row>
    <row r="31" spans="1:5" x14ac:dyDescent="0.25">
      <c r="A31" t="s">
        <v>31</v>
      </c>
      <c r="B31" t="s">
        <v>89</v>
      </c>
      <c r="C31" t="s">
        <v>90</v>
      </c>
      <c r="D31" t="s">
        <v>91</v>
      </c>
      <c r="E31" t="s">
        <v>8</v>
      </c>
    </row>
    <row r="32" spans="1:5" x14ac:dyDescent="0.25">
      <c r="A32" t="s">
        <v>31</v>
      </c>
      <c r="B32" t="s">
        <v>89</v>
      </c>
      <c r="C32" t="s">
        <v>92</v>
      </c>
      <c r="D32" t="s">
        <v>93</v>
      </c>
      <c r="E32" t="s">
        <v>8</v>
      </c>
    </row>
    <row r="33" spans="1:5" x14ac:dyDescent="0.25">
      <c r="A33" t="s">
        <v>31</v>
      </c>
      <c r="B33" t="s">
        <v>94</v>
      </c>
      <c r="C33" t="s">
        <v>95</v>
      </c>
      <c r="D33" t="s">
        <v>96</v>
      </c>
      <c r="E33" t="s">
        <v>8</v>
      </c>
    </row>
    <row r="34" spans="1:5" x14ac:dyDescent="0.25">
      <c r="A34" t="s">
        <v>31</v>
      </c>
      <c r="B34" t="s">
        <v>97</v>
      </c>
      <c r="C34" t="s">
        <v>98</v>
      </c>
      <c r="E34" t="s">
        <v>8</v>
      </c>
    </row>
    <row r="35" spans="1:5" x14ac:dyDescent="0.25">
      <c r="A35" t="s">
        <v>31</v>
      </c>
      <c r="B35" t="s">
        <v>36</v>
      </c>
      <c r="C35" t="s">
        <v>99</v>
      </c>
      <c r="D35" t="s">
        <v>100</v>
      </c>
      <c r="E35" t="s">
        <v>8</v>
      </c>
    </row>
    <row r="36" spans="1:5" x14ac:dyDescent="0.25">
      <c r="A36" t="s">
        <v>31</v>
      </c>
      <c r="B36" t="s">
        <v>39</v>
      </c>
      <c r="C36" t="s">
        <v>101</v>
      </c>
      <c r="D36" t="s">
        <v>102</v>
      </c>
      <c r="E36" t="s">
        <v>8</v>
      </c>
    </row>
    <row r="37" spans="1:5" x14ac:dyDescent="0.25">
      <c r="A37" t="s">
        <v>31</v>
      </c>
      <c r="B37" t="s">
        <v>42</v>
      </c>
      <c r="C37" t="s">
        <v>103</v>
      </c>
      <c r="D37" t="s">
        <v>104</v>
      </c>
      <c r="E37" t="s">
        <v>8</v>
      </c>
    </row>
    <row r="38" spans="1:5" x14ac:dyDescent="0.25">
      <c r="A38" t="s">
        <v>31</v>
      </c>
      <c r="B38" t="s">
        <v>45</v>
      </c>
      <c r="C38" t="s">
        <v>105</v>
      </c>
      <c r="D38" t="s">
        <v>106</v>
      </c>
      <c r="E38" t="s">
        <v>8</v>
      </c>
    </row>
    <row r="39" spans="1:5" x14ac:dyDescent="0.25">
      <c r="A39" t="s">
        <v>31</v>
      </c>
      <c r="B39" t="s">
        <v>48</v>
      </c>
      <c r="C39" t="s">
        <v>107</v>
      </c>
      <c r="D39" t="s">
        <v>108</v>
      </c>
      <c r="E39" t="s">
        <v>8</v>
      </c>
    </row>
    <row r="40" spans="1:5" x14ac:dyDescent="0.25">
      <c r="A40" t="s">
        <v>31</v>
      </c>
      <c r="B40" t="s">
        <v>51</v>
      </c>
      <c r="C40" t="s">
        <v>109</v>
      </c>
      <c r="D40" t="s">
        <v>110</v>
      </c>
      <c r="E40" t="s">
        <v>8</v>
      </c>
    </row>
    <row r="41" spans="1:5" x14ac:dyDescent="0.25">
      <c r="A41" t="s">
        <v>31</v>
      </c>
      <c r="B41" t="s">
        <v>54</v>
      </c>
      <c r="C41" t="s">
        <v>111</v>
      </c>
      <c r="D41" t="s">
        <v>112</v>
      </c>
      <c r="E41" t="s">
        <v>8</v>
      </c>
    </row>
    <row r="42" spans="1:5" x14ac:dyDescent="0.25">
      <c r="A42" t="s">
        <v>31</v>
      </c>
      <c r="B42" t="s">
        <v>57</v>
      </c>
      <c r="C42" t="s">
        <v>113</v>
      </c>
      <c r="D42" t="s">
        <v>114</v>
      </c>
      <c r="E42" t="s">
        <v>8</v>
      </c>
    </row>
    <row r="43" spans="1:5" x14ac:dyDescent="0.25">
      <c r="A43" t="s">
        <v>31</v>
      </c>
      <c r="B43" t="s">
        <v>60</v>
      </c>
      <c r="C43" t="s">
        <v>115</v>
      </c>
      <c r="D43" t="s">
        <v>116</v>
      </c>
      <c r="E43" t="s">
        <v>8</v>
      </c>
    </row>
    <row r="44" spans="1:5" x14ac:dyDescent="0.25">
      <c r="A44" t="s">
        <v>31</v>
      </c>
      <c r="B44" t="s">
        <v>63</v>
      </c>
      <c r="C44" t="s">
        <v>117</v>
      </c>
      <c r="D44" t="s">
        <v>118</v>
      </c>
      <c r="E44" t="s">
        <v>8</v>
      </c>
    </row>
    <row r="45" spans="1:5" x14ac:dyDescent="0.25">
      <c r="A45" t="s">
        <v>31</v>
      </c>
      <c r="B45" t="s">
        <v>66</v>
      </c>
      <c r="C45" t="s">
        <v>119</v>
      </c>
      <c r="D45" t="s">
        <v>120</v>
      </c>
      <c r="E45" t="s">
        <v>8</v>
      </c>
    </row>
    <row r="46" spans="1:5" x14ac:dyDescent="0.25">
      <c r="A46" t="s">
        <v>31</v>
      </c>
      <c r="B46" t="s">
        <v>69</v>
      </c>
      <c r="C46" t="s">
        <v>121</v>
      </c>
      <c r="D46" t="s">
        <v>122</v>
      </c>
      <c r="E46" t="s">
        <v>8</v>
      </c>
    </row>
    <row r="47" spans="1:5" x14ac:dyDescent="0.25">
      <c r="A47" t="s">
        <v>31</v>
      </c>
      <c r="B47" t="s">
        <v>72</v>
      </c>
      <c r="C47" t="s">
        <v>123</v>
      </c>
      <c r="D47" t="s">
        <v>124</v>
      </c>
      <c r="E47" t="s">
        <v>8</v>
      </c>
    </row>
    <row r="48" spans="1:5" x14ac:dyDescent="0.25">
      <c r="A48" t="s">
        <v>31</v>
      </c>
      <c r="B48" t="s">
        <v>75</v>
      </c>
      <c r="C48" t="s">
        <v>125</v>
      </c>
      <c r="D48" t="s">
        <v>126</v>
      </c>
      <c r="E48" t="s">
        <v>8</v>
      </c>
    </row>
    <row r="49" spans="1:5" x14ac:dyDescent="0.25">
      <c r="A49" t="s">
        <v>31</v>
      </c>
      <c r="B49" t="s">
        <v>78</v>
      </c>
      <c r="C49" t="s">
        <v>127</v>
      </c>
      <c r="D49" t="s">
        <v>128</v>
      </c>
      <c r="E49" t="s">
        <v>8</v>
      </c>
    </row>
    <row r="50" spans="1:5" x14ac:dyDescent="0.25">
      <c r="A50" t="s">
        <v>31</v>
      </c>
      <c r="B50" t="s">
        <v>78</v>
      </c>
      <c r="C50" t="s">
        <v>129</v>
      </c>
      <c r="D50" t="s">
        <v>130</v>
      </c>
      <c r="E50" t="s">
        <v>8</v>
      </c>
    </row>
    <row r="51" spans="1:5" x14ac:dyDescent="0.25">
      <c r="A51" t="s">
        <v>31</v>
      </c>
      <c r="B51" t="s">
        <v>83</v>
      </c>
      <c r="C51" t="s">
        <v>131</v>
      </c>
      <c r="D51" t="s">
        <v>132</v>
      </c>
      <c r="E51" t="s">
        <v>8</v>
      </c>
    </row>
    <row r="52" spans="1:5" x14ac:dyDescent="0.25">
      <c r="A52" t="s">
        <v>31</v>
      </c>
      <c r="B52" t="s">
        <v>86</v>
      </c>
      <c r="C52" t="s">
        <v>133</v>
      </c>
      <c r="D52" t="s">
        <v>134</v>
      </c>
      <c r="E52" t="s">
        <v>8</v>
      </c>
    </row>
    <row r="53" spans="1:5" x14ac:dyDescent="0.25">
      <c r="A53" t="s">
        <v>31</v>
      </c>
      <c r="B53" t="s">
        <v>89</v>
      </c>
      <c r="C53" t="s">
        <v>135</v>
      </c>
      <c r="D53" t="s">
        <v>136</v>
      </c>
      <c r="E53" t="s">
        <v>8</v>
      </c>
    </row>
    <row r="54" spans="1:5" x14ac:dyDescent="0.25">
      <c r="A54" t="s">
        <v>31</v>
      </c>
      <c r="B54" t="s">
        <v>89</v>
      </c>
      <c r="C54" t="s">
        <v>137</v>
      </c>
      <c r="D54" t="s">
        <v>138</v>
      </c>
      <c r="E54" t="s">
        <v>8</v>
      </c>
    </row>
    <row r="55" spans="1:5" x14ac:dyDescent="0.25">
      <c r="A55" t="s">
        <v>31</v>
      </c>
      <c r="B55" t="s">
        <v>139</v>
      </c>
      <c r="C55" t="s">
        <v>140</v>
      </c>
      <c r="D55" t="s">
        <v>141</v>
      </c>
      <c r="E55" t="s">
        <v>8</v>
      </c>
    </row>
    <row r="56" spans="1:5" x14ac:dyDescent="0.25">
      <c r="A56" t="s">
        <v>31</v>
      </c>
      <c r="B56" t="s">
        <v>142</v>
      </c>
      <c r="C56" t="s">
        <v>33</v>
      </c>
      <c r="D56" t="s">
        <v>143</v>
      </c>
      <c r="E5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9"/>
  <sheetViews>
    <sheetView tabSelected="1" topLeftCell="A31" workbookViewId="0">
      <selection activeCell="Q34" sqref="Q34"/>
    </sheetView>
  </sheetViews>
  <sheetFormatPr defaultRowHeight="15" x14ac:dyDescent="0.25"/>
  <cols>
    <col min="1" max="1" width="19.5703125" style="5" customWidth="1"/>
    <col min="2" max="2" width="36.140625" style="5" bestFit="1" customWidth="1"/>
    <col min="3" max="3" width="25" style="5" bestFit="1" customWidth="1"/>
    <col min="4" max="5" width="19.5703125" style="5" customWidth="1"/>
    <col min="6" max="6" width="19" style="2" bestFit="1" customWidth="1"/>
    <col min="7" max="7" width="9.140625" style="6"/>
  </cols>
  <sheetData>
    <row r="1" spans="1:8" x14ac:dyDescent="0.25">
      <c r="A1" s="5" t="str">
        <f>timing_marks!A1</f>
        <v>step</v>
      </c>
      <c r="B1" s="5" t="str">
        <f>timing_marks!B1</f>
        <v>substep</v>
      </c>
      <c r="C1" s="5" t="str">
        <f>timing_marks!C1</f>
        <v>timestamp</v>
      </c>
      <c r="D1" s="5" t="str">
        <f>timing_marks!D1</f>
        <v>runtime</v>
      </c>
      <c r="E1" s="5" t="str">
        <f>timing_marks!E1</f>
        <v>descr</v>
      </c>
      <c r="F1" s="7" t="s">
        <v>144</v>
      </c>
      <c r="G1" s="8" t="s">
        <v>145</v>
      </c>
    </row>
    <row r="2" spans="1:8" x14ac:dyDescent="0.25">
      <c r="A2" s="5" t="str">
        <f>timing_marks!A2</f>
        <v>init</v>
      </c>
      <c r="B2" s="5" t="str">
        <f>timing_marks!B2</f>
        <v>start_create_topo</v>
      </c>
      <c r="C2" s="5" t="str">
        <f>timing_marks!C2</f>
        <v>2025-05-20 01:48:49.571821</v>
      </c>
      <c r="D2" s="5">
        <f>timing_marks!D2</f>
        <v>0</v>
      </c>
      <c r="E2" s="5" t="str">
        <f>timing_marks!E2</f>
        <v>-</v>
      </c>
      <c r="F2" s="3"/>
    </row>
    <row r="3" spans="1:8" x14ac:dyDescent="0.25">
      <c r="A3" s="5" t="str">
        <f>timing_marks!A3</f>
        <v>init</v>
      </c>
      <c r="B3" s="5" t="str">
        <f>timing_marks!B3</f>
        <v>end_create_topo</v>
      </c>
      <c r="C3" s="5" t="str">
        <f>timing_marks!C3</f>
        <v>2025-05-20 01:50:09.277964</v>
      </c>
      <c r="D3" s="5" t="str">
        <f>timing_marks!D3</f>
        <v xml:space="preserve"> 0:01:19.706</v>
      </c>
      <c r="E3" s="5" t="str">
        <f>timing_marks!E3</f>
        <v>-</v>
      </c>
      <c r="F3" s="4">
        <f>TIME(MID(C3,12,2),MID(C3,15,2),MID(C3,18,2))-TIME(MID(C2,12,2),MID(C2,15,2),MID(C2,18,2))</f>
        <v>9.2592592592592726E-4</v>
      </c>
      <c r="G3" s="6">
        <f>TIME(MID(C3,12,2),MID(C3,15,2),MID(C3,18,2))-TIME(MID($C$2,12,2),MID($C$2,15,2),MID($C$2,18,2))</f>
        <v>9.2592592592592726E-4</v>
      </c>
      <c r="H3" s="1"/>
    </row>
    <row r="4" spans="1:8" x14ac:dyDescent="0.25">
      <c r="A4" s="5" t="str">
        <f>timing_marks!A4</f>
        <v>init</v>
      </c>
      <c r="B4" s="5" t="str">
        <f>timing_marks!B4</f>
        <v>start_calc_economics</v>
      </c>
      <c r="C4" s="5" t="str">
        <f>timing_marks!C4</f>
        <v>2025-05-20 01:50:09.280125</v>
      </c>
      <c r="D4" s="5">
        <f>timing_marks!D4</f>
        <v>0</v>
      </c>
      <c r="E4" s="5" t="str">
        <f>timing_marks!E4</f>
        <v>-</v>
      </c>
      <c r="F4" s="4">
        <f t="shared" ref="F4:F5" si="0">TIME(MID(C4,12,2),MID(C4,15,2),MID(C4,18,2))-TIME(MID(C3,12,2),MID(C3,15,2),MID(C3,18,2))</f>
        <v>0</v>
      </c>
      <c r="G4" s="6">
        <f t="shared" ref="G4:G61" si="1">TIME(MID(C4,12,2),MID(C4,15,2),MID(C4,18,2))-TIME(MID($C$2,12,2),MID($C$2,15,2),MID($C$2,18,2))</f>
        <v>9.2592592592592726E-4</v>
      </c>
    </row>
    <row r="5" spans="1:8" x14ac:dyDescent="0.25">
      <c r="A5" s="5" t="str">
        <f>timing_marks!A5</f>
        <v>init</v>
      </c>
      <c r="B5" s="5" t="str">
        <f>timing_marks!B5</f>
        <v>end_calc_economics</v>
      </c>
      <c r="C5" s="5" t="str">
        <f>timing_marks!C5</f>
        <v>2025-05-20 01:54:00.339479</v>
      </c>
      <c r="D5" s="5" t="str">
        <f>timing_marks!D5</f>
        <v xml:space="preserve"> 0:03:51.059</v>
      </c>
      <c r="E5" s="5" t="str">
        <f>timing_marks!E5</f>
        <v>-</v>
      </c>
      <c r="F5" s="4">
        <f t="shared" si="0"/>
        <v>2.6736111111110988E-3</v>
      </c>
      <c r="G5" s="6">
        <f t="shared" si="1"/>
        <v>3.5995370370370261E-3</v>
      </c>
    </row>
    <row r="6" spans="1:8" x14ac:dyDescent="0.25">
      <c r="A6" s="5" t="str">
        <f>timing_marks!A6</f>
        <v>init</v>
      </c>
      <c r="B6" s="5" t="str">
        <f>timing_marks!B6</f>
        <v>start_sanity_check</v>
      </c>
      <c r="C6" s="5" t="str">
        <f>timing_marks!C6</f>
        <v>2025-05-20 01:54:00.344107</v>
      </c>
      <c r="D6" s="5">
        <f>timing_marks!D6</f>
        <v>0</v>
      </c>
      <c r="E6" s="5" t="str">
        <f>timing_marks!E6</f>
        <v>-</v>
      </c>
      <c r="F6" s="4">
        <f t="shared" ref="F6:F61" si="2">TIME(MID(C6,12,2),MID(C6,15,2),MID(C6,18,2))-TIME(MID(C5,12,2),MID(C5,15,2),MID(C5,18,2))</f>
        <v>0</v>
      </c>
      <c r="G6" s="6">
        <f t="shared" si="1"/>
        <v>3.5995370370370261E-3</v>
      </c>
    </row>
    <row r="7" spans="1:8" x14ac:dyDescent="0.25">
      <c r="A7" s="5" t="str">
        <f>timing_marks!A7</f>
        <v>init</v>
      </c>
      <c r="B7" s="5" t="str">
        <f>timing_marks!B7</f>
        <v>end_sanity_check_allocation</v>
      </c>
      <c r="C7" s="5" t="str">
        <f>timing_marks!C7</f>
        <v>2025-05-20 01:57:50.837798</v>
      </c>
      <c r="D7" s="5" t="str">
        <f>timing_marks!D7</f>
        <v xml:space="preserve"> 0:03:46.644</v>
      </c>
      <c r="E7" s="5" t="str">
        <f>timing_marks!E7</f>
        <v>-</v>
      </c>
      <c r="F7" s="4">
        <f t="shared" si="2"/>
        <v>2.6620370370370461E-3</v>
      </c>
      <c r="G7" s="6">
        <f t="shared" si="1"/>
        <v>6.2615740740740722E-3</v>
      </c>
    </row>
    <row r="8" spans="1:8" x14ac:dyDescent="0.25">
      <c r="A8" s="5" t="str">
        <f>timing_marks!A8</f>
        <v>init</v>
      </c>
      <c r="B8" s="5" t="str">
        <f>timing_marks!B8</f>
        <v>end_sanity_check_summary_by_EGID</v>
      </c>
      <c r="C8" s="5" t="str">
        <f>timing_marks!C8</f>
        <v>2025-05-20 01:57:50.995695</v>
      </c>
      <c r="D8" s="5" t="str">
        <f>timing_marks!D8</f>
        <v xml:space="preserve"> 0:00:00.154</v>
      </c>
      <c r="E8" s="5" t="str">
        <f>timing_marks!E8</f>
        <v>-</v>
      </c>
      <c r="F8" s="4">
        <f t="shared" si="2"/>
        <v>0</v>
      </c>
      <c r="G8" s="6">
        <f t="shared" si="1"/>
        <v>6.2615740740740722E-3</v>
      </c>
    </row>
    <row r="9" spans="1:8" x14ac:dyDescent="0.25">
      <c r="A9" s="5" t="str">
        <f>timing_marks!A9</f>
        <v>init</v>
      </c>
      <c r="B9" s="5" t="str">
        <f>timing_marks!B9</f>
        <v>end_sanity_check_export_spatial_data</v>
      </c>
      <c r="C9" s="5" t="str">
        <f>timing_marks!C9</f>
        <v>2025-05-20 01:59:00.493632</v>
      </c>
      <c r="D9" s="5" t="str">
        <f>timing_marks!D9</f>
        <v xml:space="preserve"> 0:01:09.494</v>
      </c>
      <c r="E9" s="5" t="str">
        <f>timing_marks!E9</f>
        <v>-</v>
      </c>
      <c r="F9" s="4">
        <f t="shared" si="2"/>
        <v>8.1018518518517768E-4</v>
      </c>
      <c r="G9" s="6">
        <f t="shared" si="1"/>
        <v>7.0717592592592499E-3</v>
      </c>
    </row>
    <row r="10" spans="1:8" x14ac:dyDescent="0.25">
      <c r="A10" s="5" t="str">
        <f>timing_marks!A10</f>
        <v>init</v>
      </c>
      <c r="B10" s="5" t="str">
        <f>timing_marks!B10</f>
        <v>end_sanity_check</v>
      </c>
      <c r="C10" s="5" t="str">
        <f>timing_marks!C10</f>
        <v>2025-05-20 01:59:00.496010</v>
      </c>
      <c r="D10" s="5" t="str">
        <f>timing_marks!D10</f>
        <v xml:space="preserve"> 0:05:00.151</v>
      </c>
      <c r="E10" s="5" t="str">
        <f>timing_marks!E10</f>
        <v>-</v>
      </c>
      <c r="F10" s="4">
        <f t="shared" si="2"/>
        <v>0</v>
      </c>
      <c r="G10" s="6">
        <f t="shared" si="1"/>
        <v>7.0717592592592499E-3</v>
      </c>
    </row>
    <row r="11" spans="1:8" x14ac:dyDescent="0.25">
      <c r="A11" s="5" t="str">
        <f>timing_marks!A11</f>
        <v>MCalgo</v>
      </c>
      <c r="B11" s="5" t="str">
        <f>timing_marks!B11</f>
        <v>START_MC_algo</v>
      </c>
      <c r="C11" s="5" t="str">
        <f>timing_marks!C11</f>
        <v>2025-05-20 01:59:00.560781</v>
      </c>
      <c r="D11" s="5">
        <f>timing_marks!D11</f>
        <v>0</v>
      </c>
      <c r="E11" s="5" t="str">
        <f>timing_marks!E11</f>
        <v>-</v>
      </c>
      <c r="F11" s="4">
        <f t="shared" si="2"/>
        <v>0</v>
      </c>
      <c r="G11" s="6">
        <f t="shared" si="1"/>
        <v>7.0717592592592499E-3</v>
      </c>
    </row>
    <row r="12" spans="1:8" x14ac:dyDescent="0.25">
      <c r="A12" s="5" t="str">
        <f>timing_marks!A12</f>
        <v>MCalgo</v>
      </c>
      <c r="B12" s="5" t="str">
        <f>timing_marks!B12</f>
        <v>start_MC_iter_1</v>
      </c>
      <c r="C12" s="5" t="str">
        <f>timing_marks!C12</f>
        <v>2025-05-20 01:59:00.563473</v>
      </c>
      <c r="D12" s="5">
        <f>timing_marks!D12</f>
        <v>0</v>
      </c>
      <c r="E12" s="5" t="str">
        <f>timing_marks!E12</f>
        <v>-</v>
      </c>
      <c r="F12" s="4">
        <f t="shared" si="2"/>
        <v>0</v>
      </c>
      <c r="G12" s="6">
        <f t="shared" si="1"/>
        <v>7.0717592592592499E-3</v>
      </c>
    </row>
    <row r="13" spans="1:8" x14ac:dyDescent="0.25">
      <c r="A13" s="5" t="str">
        <f>timing_marks!A13</f>
        <v>MCalgo</v>
      </c>
      <c r="B13" s="5" t="str">
        <f>timing_marks!B13</f>
        <v>end update_gridprem_1</v>
      </c>
      <c r="C13" s="5" t="str">
        <f>timing_marks!C13</f>
        <v>2025-05-20 01:59:27.563163</v>
      </c>
      <c r="D13" s="5" t="str">
        <f>timing_marks!D13</f>
        <v xml:space="preserve"> 0:00:26.239</v>
      </c>
      <c r="E13" s="5" t="str">
        <f>timing_marks!E13</f>
        <v>-</v>
      </c>
      <c r="F13" s="4">
        <f t="shared" si="2"/>
        <v>3.1249999999999334E-4</v>
      </c>
      <c r="G13" s="6">
        <f t="shared" si="1"/>
        <v>7.3842592592592432E-3</v>
      </c>
    </row>
    <row r="14" spans="1:8" x14ac:dyDescent="0.25">
      <c r="A14" s="5" t="str">
        <f>timing_marks!A14</f>
        <v>MCalgo</v>
      </c>
      <c r="B14" s="5" t="str">
        <f>timing_marks!B14</f>
        <v>end update_npv_1</v>
      </c>
      <c r="C14" s="5" t="str">
        <f>timing_marks!C14</f>
        <v>2025-05-20 02:00:53.541822</v>
      </c>
      <c r="D14" s="5" t="str">
        <f>timing_marks!D14</f>
        <v xml:space="preserve"> 0:01:25.974</v>
      </c>
      <c r="E14" s="5" t="str">
        <f>timing_marks!E14</f>
        <v>-</v>
      </c>
      <c r="F14" s="4">
        <f t="shared" si="2"/>
        <v>9.9537037037038256E-4</v>
      </c>
      <c r="G14" s="6">
        <f t="shared" si="1"/>
        <v>8.3796296296296258E-3</v>
      </c>
    </row>
    <row r="15" spans="1:8" x14ac:dyDescent="0.25">
      <c r="A15" s="5" t="str">
        <f>timing_marks!A15</f>
        <v>MCalgo</v>
      </c>
      <c r="B15" s="5" t="str">
        <f>timing_marks!B15</f>
        <v>end inst_whileloop_1</v>
      </c>
      <c r="C15" s="5" t="str">
        <f>timing_marks!C15</f>
        <v>2025-05-20 02:00:54.245694</v>
      </c>
      <c r="D15" s="5" t="str">
        <f>timing_marks!D15</f>
        <v xml:space="preserve"> 0:00:00.698</v>
      </c>
      <c r="E15" s="5" t="str">
        <f>timing_marks!E15</f>
        <v>-</v>
      </c>
      <c r="F15" s="4">
        <f t="shared" si="2"/>
        <v>1.1574074074080509E-5</v>
      </c>
      <c r="G15" s="6">
        <f t="shared" si="1"/>
        <v>8.3912037037037063E-3</v>
      </c>
    </row>
    <row r="16" spans="1:8" x14ac:dyDescent="0.25">
      <c r="A16" s="5" t="str">
        <f>timing_marks!A16</f>
        <v>MCalgo</v>
      </c>
      <c r="B16" s="5" t="str">
        <f>timing_marks!B16</f>
        <v>end update_gridprem_2</v>
      </c>
      <c r="C16" s="5" t="str">
        <f>timing_marks!C16</f>
        <v>2025-05-20 02:01:20.411432</v>
      </c>
      <c r="D16" s="5" t="str">
        <f>timing_marks!D16</f>
        <v xml:space="preserve"> 0:00:26.162</v>
      </c>
      <c r="E16" s="5" t="str">
        <f>timing_marks!E16</f>
        <v>-</v>
      </c>
      <c r="F16" s="4">
        <f t="shared" si="2"/>
        <v>3.0092592592591283E-4</v>
      </c>
      <c r="G16" s="6">
        <f t="shared" si="1"/>
        <v>8.6921296296296191E-3</v>
      </c>
    </row>
    <row r="17" spans="1:7" x14ac:dyDescent="0.25">
      <c r="A17" s="5" t="str">
        <f>timing_marks!A17</f>
        <v>MCalgo</v>
      </c>
      <c r="B17" s="5" t="str">
        <f>timing_marks!B17</f>
        <v>end update_npv_2</v>
      </c>
      <c r="C17" s="5" t="str">
        <f>timing_marks!C17</f>
        <v>2025-05-20 02:02:46.353774</v>
      </c>
      <c r="D17" s="5" t="str">
        <f>timing_marks!D17</f>
        <v xml:space="preserve"> 0:01:25.939</v>
      </c>
      <c r="E17" s="5" t="str">
        <f>timing_marks!E17</f>
        <v>-</v>
      </c>
      <c r="F17" s="4">
        <f t="shared" si="2"/>
        <v>9.9537037037038256E-4</v>
      </c>
      <c r="G17" s="6">
        <f t="shared" si="1"/>
        <v>9.6875000000000017E-3</v>
      </c>
    </row>
    <row r="18" spans="1:7" x14ac:dyDescent="0.25">
      <c r="A18" s="5" t="str">
        <f>timing_marks!A18</f>
        <v>MCalgo</v>
      </c>
      <c r="B18" s="5" t="str">
        <f>timing_marks!B18</f>
        <v>end inst_whileloop_2</v>
      </c>
      <c r="C18" s="5" t="str">
        <f>timing_marks!C18</f>
        <v>2025-05-20 02:02:47.059059</v>
      </c>
      <c r="D18" s="5" t="str">
        <f>timing_marks!D18</f>
        <v xml:space="preserve"> 0:00:00.699</v>
      </c>
      <c r="E18" s="5" t="str">
        <f>timing_marks!E18</f>
        <v>-</v>
      </c>
      <c r="F18" s="4">
        <f t="shared" si="2"/>
        <v>1.1574074074066631E-5</v>
      </c>
      <c r="G18" s="6">
        <f t="shared" si="1"/>
        <v>9.6990740740740683E-3</v>
      </c>
    </row>
    <row r="19" spans="1:7" x14ac:dyDescent="0.25">
      <c r="A19" s="5" t="str">
        <f>timing_marks!A19</f>
        <v>MCalgo</v>
      </c>
      <c r="B19" s="5" t="str">
        <f>timing_marks!B19</f>
        <v>end update_gridprem_3</v>
      </c>
      <c r="C19" s="5" t="str">
        <f>timing_marks!C19</f>
        <v>2025-05-20 02:03:13.468232</v>
      </c>
      <c r="D19" s="5" t="str">
        <f>timing_marks!D19</f>
        <v xml:space="preserve"> 0:00:26.406</v>
      </c>
      <c r="E19" s="5" t="str">
        <f>timing_marks!E19</f>
        <v>-</v>
      </c>
      <c r="F19" s="4">
        <f t="shared" si="2"/>
        <v>3.0092592592592671E-4</v>
      </c>
      <c r="G19" s="6">
        <f t="shared" si="1"/>
        <v>9.999999999999995E-3</v>
      </c>
    </row>
    <row r="20" spans="1:7" x14ac:dyDescent="0.25">
      <c r="A20" s="5" t="str">
        <f>timing_marks!A20</f>
        <v>MCalgo</v>
      </c>
      <c r="B20" s="5" t="str">
        <f>timing_marks!B20</f>
        <v>end update_npv_3</v>
      </c>
      <c r="C20" s="5" t="str">
        <f>timing_marks!C20</f>
        <v>2025-05-20 02:04:39.565708</v>
      </c>
      <c r="D20" s="5" t="str">
        <f>timing_marks!D20</f>
        <v xml:space="preserve"> 0:01:26.094</v>
      </c>
      <c r="E20" s="5" t="str">
        <f>timing_marks!E20</f>
        <v>-</v>
      </c>
      <c r="F20" s="4">
        <f t="shared" si="2"/>
        <v>9.9537037037036868E-4</v>
      </c>
      <c r="G20" s="6">
        <f t="shared" si="1"/>
        <v>1.0995370370370364E-2</v>
      </c>
    </row>
    <row r="21" spans="1:7" x14ac:dyDescent="0.25">
      <c r="A21" s="5" t="str">
        <f>timing_marks!A21</f>
        <v>MCalgo</v>
      </c>
      <c r="B21" s="5" t="str">
        <f>timing_marks!B21</f>
        <v>end inst_whileloop_3</v>
      </c>
      <c r="C21" s="5" t="str">
        <f>timing_marks!C21</f>
        <v>2025-05-20 02:04:40.346237</v>
      </c>
      <c r="D21" s="5" t="str">
        <f>timing_marks!D21</f>
        <v xml:space="preserve"> 0:00:00.775</v>
      </c>
      <c r="E21" s="5" t="str">
        <f>timing_marks!E21</f>
        <v>-</v>
      </c>
      <c r="F21" s="4">
        <f t="shared" si="2"/>
        <v>1.1574074074080509E-5</v>
      </c>
      <c r="G21" s="6">
        <f t="shared" si="1"/>
        <v>1.1006944444444444E-2</v>
      </c>
    </row>
    <row r="22" spans="1:7" x14ac:dyDescent="0.25">
      <c r="A22" s="5" t="str">
        <f>timing_marks!A22</f>
        <v>MCalgo</v>
      </c>
      <c r="B22" s="5" t="str">
        <f>timing_marks!B22</f>
        <v>end update_gridprem_4</v>
      </c>
      <c r="C22" s="5" t="str">
        <f>timing_marks!C22</f>
        <v>2025-05-20 02:05:07.201475</v>
      </c>
      <c r="D22" s="5" t="str">
        <f>timing_marks!D22</f>
        <v xml:space="preserve"> 0:00:26.851</v>
      </c>
      <c r="E22" s="5" t="str">
        <f>timing_marks!E22</f>
        <v>-</v>
      </c>
      <c r="F22" s="4">
        <f t="shared" si="2"/>
        <v>3.1249999999999334E-4</v>
      </c>
      <c r="G22" s="6">
        <f t="shared" si="1"/>
        <v>1.1319444444444438E-2</v>
      </c>
    </row>
    <row r="23" spans="1:7" x14ac:dyDescent="0.25">
      <c r="A23" s="5" t="str">
        <f>timing_marks!A23</f>
        <v>MCalgo</v>
      </c>
      <c r="B23" s="5" t="str">
        <f>timing_marks!B23</f>
        <v>end update_npv_4</v>
      </c>
      <c r="C23" s="5" t="str">
        <f>timing_marks!C23</f>
        <v>2025-05-20 02:06:33.254016</v>
      </c>
      <c r="D23" s="5" t="str">
        <f>timing_marks!D23</f>
        <v xml:space="preserve"> 0:01:26.047</v>
      </c>
      <c r="E23" s="5" t="str">
        <f>timing_marks!E23</f>
        <v>-</v>
      </c>
      <c r="F23" s="4">
        <f t="shared" si="2"/>
        <v>9.9537037037038256E-4</v>
      </c>
      <c r="G23" s="6">
        <f t="shared" si="1"/>
        <v>1.231481481481482E-2</v>
      </c>
    </row>
    <row r="24" spans="1:7" x14ac:dyDescent="0.25">
      <c r="A24" s="5" t="str">
        <f>timing_marks!A24</f>
        <v>MCalgo</v>
      </c>
      <c r="B24" s="5" t="str">
        <f>timing_marks!B24</f>
        <v>end inst_whileloop_4</v>
      </c>
      <c r="C24" s="5" t="str">
        <f>timing_marks!C24</f>
        <v>2025-05-20 02:06:33.981801</v>
      </c>
      <c r="D24" s="5" t="str">
        <f>timing_marks!D24</f>
        <v xml:space="preserve"> 0:00:00.722</v>
      </c>
      <c r="E24" s="5" t="str">
        <f>timing_marks!E24</f>
        <v>-</v>
      </c>
      <c r="F24" s="4">
        <f t="shared" si="2"/>
        <v>0</v>
      </c>
      <c r="G24" s="6">
        <f t="shared" si="1"/>
        <v>1.231481481481482E-2</v>
      </c>
    </row>
    <row r="25" spans="1:7" x14ac:dyDescent="0.25">
      <c r="A25" s="5" t="str">
        <f>timing_marks!A25</f>
        <v>MCalgo</v>
      </c>
      <c r="B25" s="5" t="str">
        <f>timing_marks!B25</f>
        <v>end update_gridprem_5</v>
      </c>
      <c r="C25" s="5" t="str">
        <f>timing_marks!C25</f>
        <v>2025-05-20 02:07:00.943312</v>
      </c>
      <c r="D25" s="5" t="str">
        <f>timing_marks!D25</f>
        <v xml:space="preserve"> 0:00:26.958</v>
      </c>
      <c r="E25" s="5" t="str">
        <f>timing_marks!E25</f>
        <v>-</v>
      </c>
      <c r="F25" s="4">
        <f t="shared" si="2"/>
        <v>3.1249999999999334E-4</v>
      </c>
      <c r="G25" s="6">
        <f t="shared" si="1"/>
        <v>1.2627314814814813E-2</v>
      </c>
    </row>
    <row r="26" spans="1:7" x14ac:dyDescent="0.25">
      <c r="A26" s="5" t="str">
        <f>timing_marks!A26</f>
        <v>MCalgo</v>
      </c>
      <c r="B26" s="5" t="str">
        <f>timing_marks!B26</f>
        <v>end update_npv_5</v>
      </c>
      <c r="C26" s="5" t="str">
        <f>timing_marks!C26</f>
        <v>2025-05-20 02:08:26.883609</v>
      </c>
      <c r="D26" s="5" t="str">
        <f>timing_marks!D26</f>
        <v xml:space="preserve"> 0:01:25.937</v>
      </c>
      <c r="E26" s="5" t="str">
        <f>timing_marks!E26</f>
        <v>-</v>
      </c>
      <c r="F26" s="4">
        <f t="shared" si="2"/>
        <v>9.9537037037036868E-4</v>
      </c>
      <c r="G26" s="6">
        <f t="shared" si="1"/>
        <v>1.3622685185185182E-2</v>
      </c>
    </row>
    <row r="27" spans="1:7" x14ac:dyDescent="0.25">
      <c r="A27" s="5" t="str">
        <f>timing_marks!A27</f>
        <v>MCalgo</v>
      </c>
      <c r="B27" s="5" t="str">
        <f>timing_marks!B27</f>
        <v>end inst_whileloop_5</v>
      </c>
      <c r="C27" s="5" t="str">
        <f>timing_marks!C27</f>
        <v>2025-05-20 02:08:27.575767</v>
      </c>
      <c r="D27" s="5" t="str">
        <f>timing_marks!D27</f>
        <v xml:space="preserve"> 0:00:00.686</v>
      </c>
      <c r="E27" s="5" t="str">
        <f>timing_marks!E27</f>
        <v>-</v>
      </c>
      <c r="F27" s="4">
        <f t="shared" si="2"/>
        <v>1.1574074074066631E-5</v>
      </c>
      <c r="G27" s="6">
        <f t="shared" si="1"/>
        <v>1.3634259259259249E-2</v>
      </c>
    </row>
    <row r="28" spans="1:7" x14ac:dyDescent="0.25">
      <c r="A28" s="5" t="str">
        <f>timing_marks!A28</f>
        <v>MCalgo</v>
      </c>
      <c r="B28" s="5" t="str">
        <f>timing_marks!B28</f>
        <v>end inst_whileloop_5</v>
      </c>
      <c r="C28" s="5" t="str">
        <f>timing_marks!C28</f>
        <v>2025-05-20 02:08:28.256752</v>
      </c>
      <c r="D28" s="5" t="str">
        <f>timing_marks!D28</f>
        <v xml:space="preserve"> 0:00:01.367</v>
      </c>
      <c r="E28" s="5" t="str">
        <f>timing_marks!E28</f>
        <v>-</v>
      </c>
      <c r="F28" s="4">
        <f t="shared" si="2"/>
        <v>1.1574074074066631E-5</v>
      </c>
      <c r="G28" s="6">
        <f t="shared" si="1"/>
        <v>1.3645833333333315E-2</v>
      </c>
    </row>
    <row r="29" spans="1:7" x14ac:dyDescent="0.25">
      <c r="A29" s="5" t="str">
        <f>timing_marks!A29</f>
        <v>MCalgo</v>
      </c>
      <c r="B29" s="5" t="str">
        <f>timing_marks!B29</f>
        <v>end update_gridprem_6</v>
      </c>
      <c r="C29" s="5" t="str">
        <f>timing_marks!C29</f>
        <v>2025-05-20 02:08:55.266455</v>
      </c>
      <c r="D29" s="5" t="str">
        <f>timing_marks!D29</f>
        <v xml:space="preserve"> 0:00:27.006</v>
      </c>
      <c r="E29" s="5" t="str">
        <f>timing_marks!E29</f>
        <v>-</v>
      </c>
      <c r="F29" s="4">
        <f t="shared" si="2"/>
        <v>3.1250000000002109E-4</v>
      </c>
      <c r="G29" s="6">
        <f t="shared" si="1"/>
        <v>1.3958333333333336E-2</v>
      </c>
    </row>
    <row r="30" spans="1:7" x14ac:dyDescent="0.25">
      <c r="A30" s="5" t="str">
        <f>timing_marks!A30</f>
        <v>MCalgo</v>
      </c>
      <c r="B30" s="5" t="str">
        <f>timing_marks!B30</f>
        <v>end update_npv_6</v>
      </c>
      <c r="C30" s="5" t="str">
        <f>timing_marks!C30</f>
        <v>2025-05-20 02:10:21.328809</v>
      </c>
      <c r="D30" s="5" t="str">
        <f>timing_marks!D30</f>
        <v xml:space="preserve"> 0:01:26.057</v>
      </c>
      <c r="E30" s="5" t="str">
        <f>timing_marks!E30</f>
        <v>-</v>
      </c>
      <c r="F30" s="4">
        <f t="shared" si="2"/>
        <v>9.9537037037035481E-4</v>
      </c>
      <c r="G30" s="6">
        <f t="shared" si="1"/>
        <v>1.4953703703703691E-2</v>
      </c>
    </row>
    <row r="31" spans="1:7" x14ac:dyDescent="0.25">
      <c r="A31" s="5" t="str">
        <f>timing_marks!A31</f>
        <v>MCalgo</v>
      </c>
      <c r="B31" s="5" t="str">
        <f>timing_marks!B31</f>
        <v>end inst_whileloop_6</v>
      </c>
      <c r="C31" s="5" t="str">
        <f>timing_marks!C31</f>
        <v>2025-05-20 02:10:22.016762</v>
      </c>
      <c r="D31" s="5" t="str">
        <f>timing_marks!D31</f>
        <v xml:space="preserve"> 0:00:00.681</v>
      </c>
      <c r="E31" s="5" t="str">
        <f>timing_marks!E31</f>
        <v>-</v>
      </c>
      <c r="F31" s="4">
        <f t="shared" si="2"/>
        <v>1.1574074074080509E-5</v>
      </c>
      <c r="G31" s="6">
        <f t="shared" si="1"/>
        <v>1.4965277777777772E-2</v>
      </c>
    </row>
    <row r="32" spans="1:7" x14ac:dyDescent="0.25">
      <c r="A32" s="5" t="str">
        <f>timing_marks!A32</f>
        <v>MCalgo</v>
      </c>
      <c r="B32" s="5" t="str">
        <f>timing_marks!B32</f>
        <v>end inst_whileloop_6</v>
      </c>
      <c r="C32" s="5" t="str">
        <f>timing_marks!C32</f>
        <v>2025-05-20 02:10:22.701430</v>
      </c>
      <c r="D32" s="5" t="str">
        <f>timing_marks!D32</f>
        <v xml:space="preserve"> 0:00:01.366</v>
      </c>
      <c r="E32" s="5" t="str">
        <f>timing_marks!E32</f>
        <v>-</v>
      </c>
      <c r="F32" s="4">
        <f t="shared" si="2"/>
        <v>0</v>
      </c>
      <c r="G32" s="6">
        <f t="shared" si="1"/>
        <v>1.4965277777777772E-2</v>
      </c>
    </row>
    <row r="33" spans="1:7" x14ac:dyDescent="0.25">
      <c r="A33" s="5" t="str">
        <f>timing_marks!A33</f>
        <v>MCalgo</v>
      </c>
      <c r="B33" s="5" t="str">
        <f>timing_marks!B33</f>
        <v>end_MC_iter_1</v>
      </c>
      <c r="C33" s="5" t="str">
        <f>timing_marks!C33</f>
        <v>2025-05-20 05:45:55.534313</v>
      </c>
      <c r="D33" s="5" t="str">
        <f>timing_marks!D33</f>
        <v xml:space="preserve"> 3:46:54.970</v>
      </c>
      <c r="E33" s="5" t="str">
        <f>timing_marks!E33</f>
        <v>-</v>
      </c>
      <c r="F33" s="4">
        <f t="shared" si="2"/>
        <v>0.14968749999999997</v>
      </c>
      <c r="G33" s="6">
        <f t="shared" si="1"/>
        <v>0.16465277777777776</v>
      </c>
    </row>
    <row r="34" spans="1:7" x14ac:dyDescent="0.25">
      <c r="A34" s="5" t="str">
        <f>timing_marks!A34</f>
        <v>MCalgo</v>
      </c>
      <c r="B34" s="5" t="str">
        <f>timing_marks!B34</f>
        <v>start_MC_iter_2</v>
      </c>
      <c r="C34" s="5" t="str">
        <f>timing_marks!C34</f>
        <v>2025-05-20 05:45:55.538365</v>
      </c>
      <c r="D34" s="5">
        <f>timing_marks!D34</f>
        <v>0</v>
      </c>
      <c r="E34" s="5" t="str">
        <f>timing_marks!E34</f>
        <v>-</v>
      </c>
      <c r="F34" s="4">
        <f t="shared" si="2"/>
        <v>0</v>
      </c>
      <c r="G34" s="6">
        <f t="shared" si="1"/>
        <v>0.16465277777777776</v>
      </c>
    </row>
    <row r="35" spans="1:7" x14ac:dyDescent="0.25">
      <c r="A35" s="5" t="str">
        <f>timing_marks!A35</f>
        <v>MCalgo</v>
      </c>
      <c r="B35" s="5" t="str">
        <f>timing_marks!B35</f>
        <v>end update_gridprem_1</v>
      </c>
      <c r="C35" s="5" t="str">
        <f>timing_marks!C35</f>
        <v>2025-05-20 05:46:23.117231</v>
      </c>
      <c r="D35" s="5" t="str">
        <f>timing_marks!D35</f>
        <v xml:space="preserve"> 0:00:26.846</v>
      </c>
      <c r="E35" s="5" t="str">
        <f>timing_marks!E35</f>
        <v>-</v>
      </c>
      <c r="F35" s="4">
        <f t="shared" si="2"/>
        <v>3.2407407407408773E-4</v>
      </c>
      <c r="G35" s="6">
        <f t="shared" si="1"/>
        <v>0.16497685185185185</v>
      </c>
    </row>
    <row r="36" spans="1:7" x14ac:dyDescent="0.25">
      <c r="A36" s="5" t="str">
        <f>timing_marks!A36</f>
        <v>MCalgo</v>
      </c>
      <c r="B36" s="5" t="str">
        <f>timing_marks!B36</f>
        <v>end update_npv_1</v>
      </c>
      <c r="C36" s="5" t="str">
        <f>timing_marks!C36</f>
        <v>2025-05-20 05:47:49.156774</v>
      </c>
      <c r="D36" s="5" t="str">
        <f>timing_marks!D36</f>
        <v xml:space="preserve"> 0:01:26.036</v>
      </c>
      <c r="E36" s="5" t="str">
        <f>timing_marks!E36</f>
        <v>-</v>
      </c>
      <c r="F36" s="4">
        <f t="shared" si="2"/>
        <v>9.9537037037036868E-4</v>
      </c>
      <c r="G36" s="6">
        <f t="shared" si="1"/>
        <v>0.16597222222222222</v>
      </c>
    </row>
    <row r="37" spans="1:7" x14ac:dyDescent="0.25">
      <c r="A37" s="5" t="str">
        <f>timing_marks!A37</f>
        <v>MCalgo</v>
      </c>
      <c r="B37" s="5" t="str">
        <f>timing_marks!B37</f>
        <v>end inst_whileloop_1</v>
      </c>
      <c r="C37" s="5" t="str">
        <f>timing_marks!C37</f>
        <v>2025-05-20 05:47:49.817635</v>
      </c>
      <c r="D37" s="5" t="str">
        <f>timing_marks!D37</f>
        <v xml:space="preserve"> 0:00:00.655</v>
      </c>
      <c r="E37" s="5" t="str">
        <f>timing_marks!E37</f>
        <v>-</v>
      </c>
      <c r="F37" s="4">
        <f t="shared" si="2"/>
        <v>0</v>
      </c>
      <c r="G37" s="6">
        <f t="shared" si="1"/>
        <v>0.16597222222222222</v>
      </c>
    </row>
    <row r="38" spans="1:7" x14ac:dyDescent="0.25">
      <c r="A38" s="5" t="str">
        <f>timing_marks!A38</f>
        <v>MCalgo</v>
      </c>
      <c r="B38" s="5" t="str">
        <f>timing_marks!B38</f>
        <v>end update_gridprem_2</v>
      </c>
      <c r="C38" s="5" t="str">
        <f>timing_marks!C38</f>
        <v>2025-05-20 05:48:15.567923</v>
      </c>
      <c r="D38" s="5" t="str">
        <f>timing_marks!D38</f>
        <v xml:space="preserve"> 0:00:25.747</v>
      </c>
      <c r="E38" s="5" t="str">
        <f>timing_marks!E38</f>
        <v>-</v>
      </c>
      <c r="F38" s="4">
        <f t="shared" si="2"/>
        <v>3.0092592592595446E-4</v>
      </c>
      <c r="G38" s="6">
        <f t="shared" si="1"/>
        <v>0.16627314814814817</v>
      </c>
    </row>
    <row r="39" spans="1:7" x14ac:dyDescent="0.25">
      <c r="A39" s="5" t="str">
        <f>timing_marks!A39</f>
        <v>MCalgo</v>
      </c>
      <c r="B39" s="5" t="str">
        <f>timing_marks!B39</f>
        <v>end update_npv_2</v>
      </c>
      <c r="C39" s="5" t="str">
        <f>timing_marks!C39</f>
        <v>2025-05-20 05:49:40.158792</v>
      </c>
      <c r="D39" s="5" t="str">
        <f>timing_marks!D39</f>
        <v xml:space="preserve"> 0:01:24.586</v>
      </c>
      <c r="E39" s="5" t="str">
        <f>timing_marks!E39</f>
        <v>-</v>
      </c>
      <c r="F39" s="4">
        <f t="shared" si="2"/>
        <v>9.8379629629624654E-4</v>
      </c>
      <c r="G39" s="6">
        <f t="shared" si="1"/>
        <v>0.16725694444444442</v>
      </c>
    </row>
    <row r="40" spans="1:7" x14ac:dyDescent="0.25">
      <c r="A40" s="5" t="str">
        <f>timing_marks!A40</f>
        <v>MCalgo</v>
      </c>
      <c r="B40" s="5" t="str">
        <f>timing_marks!B40</f>
        <v>end inst_whileloop_2</v>
      </c>
      <c r="C40" s="5" t="str">
        <f>timing_marks!C40</f>
        <v>2025-05-20 05:49:40.800804</v>
      </c>
      <c r="D40" s="5" t="str">
        <f>timing_marks!D40</f>
        <v xml:space="preserve"> 0:00:00.633</v>
      </c>
      <c r="E40" s="5" t="str">
        <f>timing_marks!E40</f>
        <v>-</v>
      </c>
      <c r="F40" s="4">
        <f t="shared" si="2"/>
        <v>0</v>
      </c>
      <c r="G40" s="6">
        <f t="shared" si="1"/>
        <v>0.16725694444444442</v>
      </c>
    </row>
    <row r="41" spans="1:7" x14ac:dyDescent="0.25">
      <c r="A41" s="5" t="str">
        <f>timing_marks!A41</f>
        <v>MCalgo</v>
      </c>
      <c r="B41" s="5" t="str">
        <f>timing_marks!B41</f>
        <v>end update_gridprem_3</v>
      </c>
      <c r="C41" s="5" t="str">
        <f>timing_marks!C41</f>
        <v>2025-05-20 05:50:06.733187</v>
      </c>
      <c r="D41" s="5" t="str">
        <f>timing_marks!D41</f>
        <v xml:space="preserve"> 0:00:25.929</v>
      </c>
      <c r="E41" s="5" t="str">
        <f>timing_marks!E41</f>
        <v>-</v>
      </c>
      <c r="F41" s="4">
        <f t="shared" si="2"/>
        <v>3.0092592592595446E-4</v>
      </c>
      <c r="G41" s="6">
        <f t="shared" si="1"/>
        <v>0.16755787037037037</v>
      </c>
    </row>
    <row r="42" spans="1:7" x14ac:dyDescent="0.25">
      <c r="A42" s="5" t="str">
        <f>timing_marks!A42</f>
        <v>MCalgo</v>
      </c>
      <c r="B42" s="5" t="str">
        <f>timing_marks!B42</f>
        <v>end update_npv_3</v>
      </c>
      <c r="C42" s="5" t="str">
        <f>timing_marks!C42</f>
        <v>2025-05-20 05:51:32.301764</v>
      </c>
      <c r="D42" s="5" t="str">
        <f>timing_marks!D42</f>
        <v xml:space="preserve"> 0:01:25.564</v>
      </c>
      <c r="E42" s="5" t="str">
        <f>timing_marks!E42</f>
        <v>-</v>
      </c>
      <c r="F42" s="4">
        <f t="shared" si="2"/>
        <v>9.9537037037036868E-4</v>
      </c>
      <c r="G42" s="6">
        <f t="shared" si="1"/>
        <v>0.16855324074074074</v>
      </c>
    </row>
    <row r="43" spans="1:7" x14ac:dyDescent="0.25">
      <c r="A43" s="5" t="str">
        <f>timing_marks!A43</f>
        <v>MCalgo</v>
      </c>
      <c r="B43" s="5" t="str">
        <f>timing_marks!B43</f>
        <v>end inst_whileloop_3</v>
      </c>
      <c r="C43" s="5" t="str">
        <f>timing_marks!C43</f>
        <v>2025-05-20 05:51:32.944714</v>
      </c>
      <c r="D43" s="5" t="str">
        <f>timing_marks!D43</f>
        <v xml:space="preserve"> 0:00:00.637</v>
      </c>
      <c r="E43" s="5" t="str">
        <f>timing_marks!E43</f>
        <v>-</v>
      </c>
      <c r="F43" s="4">
        <f t="shared" si="2"/>
        <v>0</v>
      </c>
      <c r="G43" s="6">
        <f t="shared" si="1"/>
        <v>0.16855324074074074</v>
      </c>
    </row>
    <row r="44" spans="1:7" x14ac:dyDescent="0.25">
      <c r="A44" s="5" t="str">
        <f>timing_marks!A44</f>
        <v>MCalgo</v>
      </c>
      <c r="B44" s="5" t="str">
        <f>timing_marks!B44</f>
        <v>end update_gridprem_4</v>
      </c>
      <c r="C44" s="5" t="str">
        <f>timing_marks!C44</f>
        <v>2025-05-20 05:51:59.220492</v>
      </c>
      <c r="D44" s="5" t="str">
        <f>timing_marks!D44</f>
        <v xml:space="preserve"> 0:00:26.272</v>
      </c>
      <c r="E44" s="5" t="str">
        <f>timing_marks!E44</f>
        <v>-</v>
      </c>
      <c r="F44" s="4">
        <f t="shared" si="2"/>
        <v>3.1249999999996558E-4</v>
      </c>
      <c r="G44" s="6">
        <f t="shared" si="1"/>
        <v>0.16886574074074071</v>
      </c>
    </row>
    <row r="45" spans="1:7" x14ac:dyDescent="0.25">
      <c r="A45" s="5" t="str">
        <f>timing_marks!A45</f>
        <v>MCalgo</v>
      </c>
      <c r="B45" s="5" t="str">
        <f>timing_marks!B45</f>
        <v>end update_npv_4</v>
      </c>
      <c r="C45" s="5" t="str">
        <f>timing_marks!C45</f>
        <v>2025-05-20 05:53:24.083611</v>
      </c>
      <c r="D45" s="5" t="str">
        <f>timing_marks!D45</f>
        <v xml:space="preserve"> 0:01:24.860</v>
      </c>
      <c r="E45" s="5" t="str">
        <f>timing_marks!E45</f>
        <v>-</v>
      </c>
      <c r="F45" s="4">
        <f t="shared" si="2"/>
        <v>9.8379629629630205E-4</v>
      </c>
      <c r="G45" s="6">
        <f t="shared" si="1"/>
        <v>0.16984953703703701</v>
      </c>
    </row>
    <row r="46" spans="1:7" x14ac:dyDescent="0.25">
      <c r="A46" s="5" t="str">
        <f>timing_marks!A46</f>
        <v>MCalgo</v>
      </c>
      <c r="B46" s="5" t="str">
        <f>timing_marks!B46</f>
        <v>end inst_whileloop_4</v>
      </c>
      <c r="C46" s="5" t="str">
        <f>timing_marks!C46</f>
        <v>2025-05-20 05:53:24.745864</v>
      </c>
      <c r="D46" s="5" t="str">
        <f>timing_marks!D46</f>
        <v xml:space="preserve"> 0:00:00.657</v>
      </c>
      <c r="E46" s="5" t="str">
        <f>timing_marks!E46</f>
        <v>-</v>
      </c>
      <c r="F46" s="4">
        <f t="shared" si="2"/>
        <v>0</v>
      </c>
      <c r="G46" s="6">
        <f t="shared" si="1"/>
        <v>0.16984953703703701</v>
      </c>
    </row>
    <row r="47" spans="1:7" x14ac:dyDescent="0.25">
      <c r="A47" s="5" t="str">
        <f>timing_marks!A47</f>
        <v>MCalgo</v>
      </c>
      <c r="B47" s="5" t="str">
        <f>timing_marks!B47</f>
        <v>end update_gridprem_5</v>
      </c>
      <c r="C47" s="5" t="str">
        <f>timing_marks!C47</f>
        <v>2025-05-20 05:53:50.911826</v>
      </c>
      <c r="D47" s="5" t="str">
        <f>timing_marks!D47</f>
        <v xml:space="preserve"> 0:00:26.163</v>
      </c>
      <c r="E47" s="5" t="str">
        <f>timing_marks!E47</f>
        <v>-</v>
      </c>
      <c r="F47" s="4">
        <f t="shared" si="2"/>
        <v>3.0092592592595446E-4</v>
      </c>
      <c r="G47" s="6">
        <f t="shared" si="1"/>
        <v>0.17015046296296296</v>
      </c>
    </row>
    <row r="48" spans="1:7" x14ac:dyDescent="0.25">
      <c r="A48" s="5" t="str">
        <f>timing_marks!A48</f>
        <v>MCalgo</v>
      </c>
      <c r="B48" s="5" t="str">
        <f>timing_marks!B48</f>
        <v>end update_npv_5</v>
      </c>
      <c r="C48" s="5" t="str">
        <f>timing_marks!C48</f>
        <v>2025-05-20 05:55:16.664992</v>
      </c>
      <c r="D48" s="5" t="str">
        <f>timing_marks!D48</f>
        <v xml:space="preserve"> 0:01:25.749</v>
      </c>
      <c r="E48" s="5" t="str">
        <f>timing_marks!E48</f>
        <v>-</v>
      </c>
      <c r="F48" s="4">
        <f t="shared" si="2"/>
        <v>9.9537037037036868E-4</v>
      </c>
      <c r="G48" s="6">
        <f t="shared" si="1"/>
        <v>0.17114583333333333</v>
      </c>
    </row>
    <row r="49" spans="1:7" x14ac:dyDescent="0.25">
      <c r="A49" s="5" t="str">
        <f>timing_marks!A49</f>
        <v>MCalgo</v>
      </c>
      <c r="B49" s="5" t="str">
        <f>timing_marks!B49</f>
        <v>end inst_whileloop_5</v>
      </c>
      <c r="C49" s="5" t="str">
        <f>timing_marks!C49</f>
        <v>2025-05-20 05:55:17.396260</v>
      </c>
      <c r="D49" s="5" t="str">
        <f>timing_marks!D49</f>
        <v xml:space="preserve"> 0:00:00.726</v>
      </c>
      <c r="E49" s="5" t="str">
        <f>timing_marks!E49</f>
        <v>-</v>
      </c>
      <c r="F49" s="4">
        <f t="shared" si="2"/>
        <v>1.1574074074066631E-5</v>
      </c>
      <c r="G49" s="6">
        <f t="shared" si="1"/>
        <v>0.1711574074074074</v>
      </c>
    </row>
    <row r="50" spans="1:7" x14ac:dyDescent="0.25">
      <c r="A50" s="5" t="str">
        <f>timing_marks!A50</f>
        <v>MCalgo</v>
      </c>
      <c r="B50" s="5" t="str">
        <f>timing_marks!B50</f>
        <v>end inst_whileloop_5</v>
      </c>
      <c r="C50" s="5" t="str">
        <f>timing_marks!C50</f>
        <v>2025-05-20 05:55:18.026516</v>
      </c>
      <c r="D50" s="5" t="str">
        <f>timing_marks!D50</f>
        <v xml:space="preserve"> 0:00:01.356</v>
      </c>
      <c r="E50" s="5" t="str">
        <f>timing_marks!E50</f>
        <v>-</v>
      </c>
      <c r="F50" s="4">
        <f t="shared" si="2"/>
        <v>1.1574074074094387E-5</v>
      </c>
      <c r="G50" s="6">
        <f t="shared" si="1"/>
        <v>0.17116898148148149</v>
      </c>
    </row>
    <row r="51" spans="1:7" x14ac:dyDescent="0.25">
      <c r="A51" s="5" t="str">
        <f>timing_marks!A51</f>
        <v>MCalgo</v>
      </c>
      <c r="B51" s="5" t="str">
        <f>timing_marks!B51</f>
        <v>end update_gridprem_6</v>
      </c>
      <c r="C51" s="5" t="str">
        <f>timing_marks!C51</f>
        <v>2025-05-20 05:55:44.435034</v>
      </c>
      <c r="D51" s="5" t="str">
        <f>timing_marks!D51</f>
        <v xml:space="preserve"> 0:00:26.405</v>
      </c>
      <c r="E51" s="5" t="str">
        <f>timing_marks!E51</f>
        <v>-</v>
      </c>
      <c r="F51" s="4">
        <f t="shared" si="2"/>
        <v>3.0092592592589895E-4</v>
      </c>
      <c r="G51" s="6">
        <f t="shared" si="1"/>
        <v>0.17146990740740739</v>
      </c>
    </row>
    <row r="52" spans="1:7" x14ac:dyDescent="0.25">
      <c r="A52" s="5" t="str">
        <f>timing_marks!A52</f>
        <v>MCalgo</v>
      </c>
      <c r="B52" s="5" t="str">
        <f>timing_marks!B52</f>
        <v>end update_npv_6</v>
      </c>
      <c r="C52" s="5" t="str">
        <f>timing_marks!C52</f>
        <v>2025-05-20 05:57:09.769593</v>
      </c>
      <c r="D52" s="5" t="str">
        <f>timing_marks!D52</f>
        <v xml:space="preserve"> 0:01:25.330</v>
      </c>
      <c r="E52" s="5" t="str">
        <f>timing_marks!E52</f>
        <v>-</v>
      </c>
      <c r="F52" s="4">
        <f t="shared" si="2"/>
        <v>9.8379629629630205E-4</v>
      </c>
      <c r="G52" s="6">
        <f t="shared" si="1"/>
        <v>0.17245370370370369</v>
      </c>
    </row>
    <row r="53" spans="1:7" x14ac:dyDescent="0.25">
      <c r="A53" s="5" t="str">
        <f>timing_marks!A53</f>
        <v>MCalgo</v>
      </c>
      <c r="B53" s="5" t="str">
        <f>timing_marks!B53</f>
        <v>end inst_whileloop_6</v>
      </c>
      <c r="C53" s="5" t="str">
        <f>timing_marks!C53</f>
        <v>2025-05-20 05:57:10.481407</v>
      </c>
      <c r="D53" s="5" t="str">
        <f>timing_marks!D53</f>
        <v xml:space="preserve"> 0:00:00.707</v>
      </c>
      <c r="E53" s="5" t="str">
        <f>timing_marks!E53</f>
        <v>-</v>
      </c>
      <c r="F53" s="4">
        <f t="shared" si="2"/>
        <v>1.1574074074066631E-5</v>
      </c>
      <c r="G53" s="6">
        <f t="shared" si="1"/>
        <v>0.17246527777777776</v>
      </c>
    </row>
    <row r="54" spans="1:7" x14ac:dyDescent="0.25">
      <c r="A54" s="5" t="str">
        <f>timing_marks!A54</f>
        <v>MCalgo</v>
      </c>
      <c r="B54" s="5" t="str">
        <f>timing_marks!B54</f>
        <v>end inst_whileloop_6</v>
      </c>
      <c r="C54" s="5" t="str">
        <f>timing_marks!C54</f>
        <v>2025-05-20 05:57:11.125502</v>
      </c>
      <c r="D54" s="5" t="str">
        <f>timing_marks!D54</f>
        <v xml:space="preserve"> 0:00:01.351</v>
      </c>
      <c r="E54" s="5" t="str">
        <f>timing_marks!E54</f>
        <v>-</v>
      </c>
      <c r="F54" s="4">
        <f t="shared" si="2"/>
        <v>1.1574074074066631E-5</v>
      </c>
      <c r="G54" s="6">
        <f t="shared" si="1"/>
        <v>0.17247685185185183</v>
      </c>
    </row>
    <row r="55" spans="1:7" x14ac:dyDescent="0.25">
      <c r="A55" s="5" t="str">
        <f>timing_marks!A55</f>
        <v>MCalgo</v>
      </c>
      <c r="B55" s="5" t="str">
        <f>timing_marks!B55</f>
        <v>end_MC_iter_2</v>
      </c>
      <c r="C55" s="5" t="str">
        <f>timing_marks!C55</f>
        <v>2025-05-20 09:33:20.781043</v>
      </c>
      <c r="D55" s="5" t="str">
        <f>timing_marks!D55</f>
        <v xml:space="preserve"> 3:47:25.242</v>
      </c>
      <c r="E55" s="5" t="str">
        <f>timing_marks!E55</f>
        <v>-</v>
      </c>
      <c r="F55" s="4">
        <f>TIME(MID(C55,12,2),MID(C55,15,2),MID(C55,18,2))-TIME(MID(C54,12,2),MID(C54,15,2),MID(C54,18,2))</f>
        <v>0.15010416666666668</v>
      </c>
      <c r="G55" s="6">
        <f t="shared" si="1"/>
        <v>0.3225810185185185</v>
      </c>
    </row>
    <row r="56" spans="1:7" x14ac:dyDescent="0.25">
      <c r="A56" s="5" t="str">
        <f>timing_marks!A56</f>
        <v>MCalgo</v>
      </c>
      <c r="B56" s="5" t="str">
        <f>timing_marks!B56</f>
        <v>END_MC_algo</v>
      </c>
      <c r="C56" s="5" t="str">
        <f>timing_marks!C56</f>
        <v>2025-05-20 01:59:00.560781</v>
      </c>
      <c r="D56" s="5" t="str">
        <f>timing_marks!D56</f>
        <v xml:space="preserve"> 7:34:20.224</v>
      </c>
      <c r="E56" s="5" t="str">
        <f>timing_marks!E56</f>
        <v>-</v>
      </c>
      <c r="F56" s="4">
        <f>TIME(MID(C56,12,2),MID(C56,15,2),MID(C56,18,2))-TIME(MID(C55,12,2),MID(C55,15,2),MID(C55,18,2))</f>
        <v>-0.31550925925925927</v>
      </c>
      <c r="G56" s="6">
        <f t="shared" si="1"/>
        <v>7.0717592592592499E-3</v>
      </c>
    </row>
    <row r="57" spans="1:7" x14ac:dyDescent="0.25">
      <c r="A57" s="5">
        <f>timing_marks!A57</f>
        <v>0</v>
      </c>
      <c r="B57" s="5">
        <f>timing_marks!B57</f>
        <v>0</v>
      </c>
      <c r="C57" s="5">
        <f>timing_marks!C57</f>
        <v>0</v>
      </c>
      <c r="D57" s="5">
        <f>timing_marks!D57</f>
        <v>0</v>
      </c>
      <c r="E57" s="5">
        <f>timing_marks!E57</f>
        <v>0</v>
      </c>
      <c r="F57" s="4" t="e">
        <f t="shared" si="2"/>
        <v>#VALUE!</v>
      </c>
      <c r="G57" s="6" t="e">
        <f t="shared" si="1"/>
        <v>#VALUE!</v>
      </c>
    </row>
    <row r="58" spans="1:7" x14ac:dyDescent="0.25">
      <c r="A58" s="5">
        <f>timing_marks!A58</f>
        <v>0</v>
      </c>
      <c r="B58" s="5">
        <f>timing_marks!B58</f>
        <v>0</v>
      </c>
      <c r="C58" s="5">
        <f>timing_marks!C58</f>
        <v>0</v>
      </c>
      <c r="D58" s="5">
        <f>timing_marks!D58</f>
        <v>0</v>
      </c>
      <c r="E58" s="5">
        <f>timing_marks!E58</f>
        <v>0</v>
      </c>
      <c r="F58" s="4" t="e">
        <f t="shared" si="2"/>
        <v>#VALUE!</v>
      </c>
      <c r="G58" s="6" t="e">
        <f t="shared" si="1"/>
        <v>#VALUE!</v>
      </c>
    </row>
    <row r="59" spans="1:7" x14ac:dyDescent="0.25">
      <c r="A59" s="5">
        <f>timing_marks!A59</f>
        <v>0</v>
      </c>
      <c r="B59" s="5">
        <f>timing_marks!B59</f>
        <v>0</v>
      </c>
      <c r="C59" s="5">
        <f>timing_marks!C59</f>
        <v>0</v>
      </c>
      <c r="D59" s="5">
        <f>timing_marks!D59</f>
        <v>0</v>
      </c>
      <c r="E59" s="5">
        <f>timing_marks!E59</f>
        <v>0</v>
      </c>
      <c r="F59" s="4" t="e">
        <f t="shared" si="2"/>
        <v>#VALUE!</v>
      </c>
      <c r="G59" s="6" t="e">
        <f t="shared" si="1"/>
        <v>#VALUE!</v>
      </c>
    </row>
    <row r="60" spans="1:7" x14ac:dyDescent="0.25">
      <c r="A60" s="5">
        <f>timing_marks!A60</f>
        <v>0</v>
      </c>
      <c r="B60" s="5">
        <f>timing_marks!B60</f>
        <v>0</v>
      </c>
      <c r="C60" s="5">
        <f>timing_marks!C60</f>
        <v>0</v>
      </c>
      <c r="D60" s="5">
        <f>timing_marks!D60</f>
        <v>0</v>
      </c>
      <c r="E60" s="5">
        <f>timing_marks!E60</f>
        <v>0</v>
      </c>
      <c r="F60" s="4" t="e">
        <f t="shared" si="2"/>
        <v>#VALUE!</v>
      </c>
      <c r="G60" s="6" t="e">
        <f t="shared" si="1"/>
        <v>#VALUE!</v>
      </c>
    </row>
    <row r="61" spans="1:7" x14ac:dyDescent="0.25">
      <c r="A61" s="5">
        <f>timing_marks!A61</f>
        <v>0</v>
      </c>
      <c r="B61" s="5">
        <f>timing_marks!B61</f>
        <v>0</v>
      </c>
      <c r="C61" s="5">
        <f>timing_marks!C61</f>
        <v>0</v>
      </c>
      <c r="D61" s="5">
        <f>timing_marks!D61</f>
        <v>0</v>
      </c>
      <c r="E61" s="5">
        <f>timing_marks!E61</f>
        <v>0</v>
      </c>
      <c r="F61" s="4" t="e">
        <f t="shared" si="2"/>
        <v>#VALUE!</v>
      </c>
      <c r="G61" s="6" t="e">
        <f t="shared" si="1"/>
        <v>#VALUE!</v>
      </c>
    </row>
    <row r="62" spans="1:7" x14ac:dyDescent="0.25">
      <c r="F62" s="4"/>
    </row>
    <row r="63" spans="1:7" x14ac:dyDescent="0.25">
      <c r="F63" s="4"/>
    </row>
    <row r="64" spans="1:7" x14ac:dyDescent="0.25">
      <c r="F64" s="4"/>
    </row>
    <row r="65" spans="6:6" x14ac:dyDescent="0.25">
      <c r="F65" s="4"/>
    </row>
    <row r="66" spans="6:6" x14ac:dyDescent="0.25">
      <c r="F66" s="4"/>
    </row>
    <row r="67" spans="6:6" x14ac:dyDescent="0.25">
      <c r="F67" s="4"/>
    </row>
    <row r="68" spans="6:6" x14ac:dyDescent="0.25">
      <c r="F68" s="4"/>
    </row>
    <row r="69" spans="6:6" x14ac:dyDescent="0.25">
      <c r="F69" s="4"/>
    </row>
    <row r="70" spans="6:6" x14ac:dyDescent="0.25">
      <c r="F70" s="4"/>
    </row>
    <row r="71" spans="6:6" x14ac:dyDescent="0.25">
      <c r="F71" s="4"/>
    </row>
    <row r="72" spans="6:6" x14ac:dyDescent="0.25">
      <c r="F72" s="4"/>
    </row>
    <row r="73" spans="6:6" x14ac:dyDescent="0.25">
      <c r="F73" s="4"/>
    </row>
    <row r="74" spans="6:6" x14ac:dyDescent="0.25">
      <c r="F74" s="4"/>
    </row>
    <row r="75" spans="6:6" x14ac:dyDescent="0.25">
      <c r="F75" s="4"/>
    </row>
    <row r="76" spans="6:6" x14ac:dyDescent="0.25">
      <c r="F76" s="4"/>
    </row>
    <row r="77" spans="6:6" x14ac:dyDescent="0.25">
      <c r="F77" s="4"/>
    </row>
    <row r="78" spans="6:6" x14ac:dyDescent="0.25">
      <c r="F78" s="4"/>
    </row>
    <row r="79" spans="6:6" x14ac:dyDescent="0.25">
      <c r="F79" s="4"/>
    </row>
    <row r="80" spans="6:6" x14ac:dyDescent="0.25">
      <c r="F80" s="4"/>
    </row>
    <row r="81" spans="6:6" x14ac:dyDescent="0.25">
      <c r="F81" s="4"/>
    </row>
    <row r="82" spans="6:6" x14ac:dyDescent="0.25">
      <c r="F82" s="4"/>
    </row>
    <row r="83" spans="6:6" x14ac:dyDescent="0.25">
      <c r="F83" s="4"/>
    </row>
    <row r="84" spans="6:6" x14ac:dyDescent="0.25">
      <c r="F84" s="4"/>
    </row>
    <row r="85" spans="6:6" x14ac:dyDescent="0.25">
      <c r="F85" s="4"/>
    </row>
    <row r="86" spans="6:6" x14ac:dyDescent="0.25">
      <c r="F86" s="4"/>
    </row>
    <row r="87" spans="6:6" x14ac:dyDescent="0.25">
      <c r="F87" s="4"/>
    </row>
    <row r="88" spans="6:6" x14ac:dyDescent="0.25">
      <c r="F88" s="4"/>
    </row>
    <row r="89" spans="6:6" x14ac:dyDescent="0.25">
      <c r="F89" s="4"/>
    </row>
    <row r="90" spans="6:6" x14ac:dyDescent="0.25">
      <c r="F90" s="4"/>
    </row>
    <row r="91" spans="6:6" x14ac:dyDescent="0.25">
      <c r="F91" s="4"/>
    </row>
    <row r="92" spans="6:6" x14ac:dyDescent="0.25">
      <c r="F92" s="4"/>
    </row>
    <row r="93" spans="6:6" x14ac:dyDescent="0.25">
      <c r="F93" s="4"/>
    </row>
    <row r="94" spans="6:6" x14ac:dyDescent="0.25">
      <c r="F94" s="4"/>
    </row>
    <row r="95" spans="6:6" x14ac:dyDescent="0.25">
      <c r="F95" s="4"/>
    </row>
    <row r="96" spans="6:6" x14ac:dyDescent="0.25">
      <c r="F96" s="4"/>
    </row>
    <row r="97" spans="6:6" x14ac:dyDescent="0.25">
      <c r="F97" s="4"/>
    </row>
    <row r="98" spans="6:6" x14ac:dyDescent="0.25">
      <c r="F98" s="4"/>
    </row>
    <row r="99" spans="6:6" x14ac:dyDescent="0.25">
      <c r="F99" s="4"/>
    </row>
    <row r="100" spans="6:6" x14ac:dyDescent="0.25">
      <c r="F100" s="4"/>
    </row>
    <row r="101" spans="6:6" x14ac:dyDescent="0.25">
      <c r="F101" s="4"/>
    </row>
    <row r="102" spans="6:6" x14ac:dyDescent="0.25">
      <c r="F102" s="4"/>
    </row>
    <row r="103" spans="6:6" x14ac:dyDescent="0.25">
      <c r="F103" s="4"/>
    </row>
    <row r="104" spans="6:6" x14ac:dyDescent="0.25">
      <c r="F104" s="4"/>
    </row>
    <row r="105" spans="6:6" x14ac:dyDescent="0.25">
      <c r="F105" s="4"/>
    </row>
    <row r="106" spans="6:6" x14ac:dyDescent="0.25">
      <c r="F106" s="4"/>
    </row>
    <row r="107" spans="6:6" x14ac:dyDescent="0.25">
      <c r="F107" s="4"/>
    </row>
    <row r="108" spans="6:6" x14ac:dyDescent="0.25">
      <c r="F108" s="4"/>
    </row>
    <row r="109" spans="6:6" x14ac:dyDescent="0.25">
      <c r="F109" s="4"/>
    </row>
    <row r="110" spans="6:6" x14ac:dyDescent="0.25">
      <c r="F110" s="4"/>
    </row>
    <row r="111" spans="6:6" x14ac:dyDescent="0.25">
      <c r="F111" s="4"/>
    </row>
    <row r="112" spans="6:6" x14ac:dyDescent="0.25">
      <c r="F112" s="4"/>
    </row>
    <row r="113" spans="6:6" x14ac:dyDescent="0.25">
      <c r="F113" s="4"/>
    </row>
    <row r="114" spans="6:6" x14ac:dyDescent="0.25">
      <c r="F114" s="4"/>
    </row>
    <row r="115" spans="6:6" x14ac:dyDescent="0.25">
      <c r="F115" s="4"/>
    </row>
    <row r="116" spans="6:6" x14ac:dyDescent="0.25">
      <c r="F116" s="4"/>
    </row>
    <row r="117" spans="6:6" x14ac:dyDescent="0.25">
      <c r="F117" s="4"/>
    </row>
    <row r="118" spans="6:6" x14ac:dyDescent="0.25">
      <c r="F118" s="4"/>
    </row>
    <row r="119" spans="6:6" x14ac:dyDescent="0.25">
      <c r="F119" s="4"/>
    </row>
    <row r="120" spans="6:6" x14ac:dyDescent="0.25">
      <c r="F120" s="4"/>
    </row>
    <row r="121" spans="6:6" x14ac:dyDescent="0.25">
      <c r="F121" s="4"/>
    </row>
    <row r="122" spans="6:6" x14ac:dyDescent="0.25">
      <c r="F122" s="4"/>
    </row>
    <row r="123" spans="6:6" x14ac:dyDescent="0.25">
      <c r="F123" s="4"/>
    </row>
    <row r="124" spans="6:6" x14ac:dyDescent="0.25">
      <c r="F124" s="4"/>
    </row>
    <row r="125" spans="6:6" x14ac:dyDescent="0.25">
      <c r="F125" s="4"/>
    </row>
    <row r="126" spans="6:6" x14ac:dyDescent="0.25">
      <c r="F126" s="4"/>
    </row>
    <row r="127" spans="6:6" x14ac:dyDescent="0.25">
      <c r="F127" s="4"/>
    </row>
    <row r="128" spans="6:6" x14ac:dyDescent="0.25">
      <c r="F128" s="4"/>
    </row>
    <row r="129" spans="6:6" x14ac:dyDescent="0.25">
      <c r="F129" s="4"/>
    </row>
    <row r="130" spans="6:6" x14ac:dyDescent="0.25">
      <c r="F130" s="4"/>
    </row>
    <row r="131" spans="6:6" x14ac:dyDescent="0.25">
      <c r="F131" s="4"/>
    </row>
    <row r="132" spans="6:6" x14ac:dyDescent="0.25">
      <c r="F132" s="4"/>
    </row>
    <row r="133" spans="6:6" x14ac:dyDescent="0.25">
      <c r="F133" s="4"/>
    </row>
    <row r="134" spans="6:6" x14ac:dyDescent="0.25">
      <c r="F134" s="4"/>
    </row>
    <row r="135" spans="6:6" x14ac:dyDescent="0.25">
      <c r="F135" s="4"/>
    </row>
    <row r="136" spans="6:6" x14ac:dyDescent="0.25">
      <c r="F136" s="4"/>
    </row>
    <row r="137" spans="6:6" x14ac:dyDescent="0.25">
      <c r="F137" s="4"/>
    </row>
    <row r="138" spans="6:6" x14ac:dyDescent="0.25">
      <c r="F138" s="4"/>
    </row>
    <row r="139" spans="6:6" x14ac:dyDescent="0.25">
      <c r="F139" s="4"/>
    </row>
    <row r="140" spans="6:6" x14ac:dyDescent="0.25">
      <c r="F140" s="4"/>
    </row>
    <row r="141" spans="6:6" x14ac:dyDescent="0.25">
      <c r="F141" s="4"/>
    </row>
    <row r="142" spans="6:6" x14ac:dyDescent="0.25">
      <c r="F142" s="4"/>
    </row>
    <row r="143" spans="6:6" x14ac:dyDescent="0.25">
      <c r="F143" s="4"/>
    </row>
    <row r="144" spans="6:6" x14ac:dyDescent="0.25">
      <c r="F144" s="4"/>
    </row>
    <row r="145" spans="6:6" x14ac:dyDescent="0.25">
      <c r="F145" s="4"/>
    </row>
    <row r="146" spans="6:6" x14ac:dyDescent="0.25">
      <c r="F146" s="4"/>
    </row>
    <row r="147" spans="6:6" x14ac:dyDescent="0.25">
      <c r="F147" s="4"/>
    </row>
    <row r="148" spans="6:6" x14ac:dyDescent="0.25">
      <c r="F148" s="4"/>
    </row>
    <row r="149" spans="6:6" x14ac:dyDescent="0.25">
      <c r="F149" s="4"/>
    </row>
    <row r="150" spans="6:6" x14ac:dyDescent="0.25">
      <c r="F150" s="4"/>
    </row>
    <row r="151" spans="6:6" x14ac:dyDescent="0.25">
      <c r="F151" s="4"/>
    </row>
    <row r="152" spans="6:6" x14ac:dyDescent="0.25">
      <c r="F152" s="4"/>
    </row>
    <row r="153" spans="6:6" x14ac:dyDescent="0.25">
      <c r="F153" s="4"/>
    </row>
    <row r="154" spans="6:6" x14ac:dyDescent="0.25">
      <c r="F154" s="4"/>
    </row>
    <row r="155" spans="6:6" x14ac:dyDescent="0.25">
      <c r="F155" s="4"/>
    </row>
    <row r="156" spans="6:6" x14ac:dyDescent="0.25">
      <c r="F156" s="4"/>
    </row>
    <row r="157" spans="6:6" x14ac:dyDescent="0.25">
      <c r="F157" s="4"/>
    </row>
    <row r="158" spans="6:6" x14ac:dyDescent="0.25">
      <c r="F158" s="4"/>
    </row>
    <row r="159" spans="6:6" x14ac:dyDescent="0.25">
      <c r="F159" s="4"/>
    </row>
    <row r="160" spans="6:6" x14ac:dyDescent="0.25">
      <c r="F160" s="4"/>
    </row>
    <row r="161" spans="6:6" x14ac:dyDescent="0.25">
      <c r="F161" s="4"/>
    </row>
    <row r="162" spans="6:6" x14ac:dyDescent="0.25">
      <c r="F162" s="4"/>
    </row>
    <row r="163" spans="6:6" x14ac:dyDescent="0.25">
      <c r="F163" s="4"/>
    </row>
    <row r="164" spans="6:6" x14ac:dyDescent="0.25">
      <c r="F164" s="4"/>
    </row>
    <row r="165" spans="6:6" x14ac:dyDescent="0.25">
      <c r="F165" s="4"/>
    </row>
    <row r="166" spans="6:6" x14ac:dyDescent="0.25">
      <c r="F166" s="4"/>
    </row>
    <row r="167" spans="6:6" x14ac:dyDescent="0.25">
      <c r="F167" s="4"/>
    </row>
    <row r="168" spans="6:6" x14ac:dyDescent="0.25">
      <c r="F168" s="4"/>
    </row>
    <row r="169" spans="6:6" x14ac:dyDescent="0.25">
      <c r="F169" s="4"/>
    </row>
    <row r="170" spans="6:6" x14ac:dyDescent="0.25">
      <c r="F170" s="4"/>
    </row>
    <row r="171" spans="6:6" x14ac:dyDescent="0.25">
      <c r="F171" s="4"/>
    </row>
    <row r="172" spans="6:6" x14ac:dyDescent="0.25">
      <c r="F172" s="4"/>
    </row>
    <row r="173" spans="6:6" x14ac:dyDescent="0.25">
      <c r="F173" s="4"/>
    </row>
    <row r="174" spans="6:6" x14ac:dyDescent="0.25">
      <c r="F174" s="4"/>
    </row>
    <row r="175" spans="6:6" x14ac:dyDescent="0.25">
      <c r="F175" s="4"/>
    </row>
    <row r="176" spans="6:6" x14ac:dyDescent="0.25">
      <c r="F176" s="4"/>
    </row>
    <row r="177" spans="6:6" x14ac:dyDescent="0.25">
      <c r="F177" s="4"/>
    </row>
    <row r="178" spans="6:6" x14ac:dyDescent="0.25">
      <c r="F178" s="4"/>
    </row>
    <row r="179" spans="6:6" x14ac:dyDescent="0.25">
      <c r="F179" s="4"/>
    </row>
    <row r="180" spans="6:6" x14ac:dyDescent="0.25">
      <c r="F180" s="4"/>
    </row>
    <row r="181" spans="6:6" x14ac:dyDescent="0.25">
      <c r="F181" s="4"/>
    </row>
    <row r="182" spans="6:6" x14ac:dyDescent="0.25">
      <c r="F182" s="4"/>
    </row>
    <row r="183" spans="6:6" x14ac:dyDescent="0.25">
      <c r="F183" s="4"/>
    </row>
    <row r="184" spans="6:6" x14ac:dyDescent="0.25">
      <c r="F184" s="4"/>
    </row>
    <row r="185" spans="6:6" x14ac:dyDescent="0.25">
      <c r="F185" s="4"/>
    </row>
    <row r="186" spans="6:6" x14ac:dyDescent="0.25">
      <c r="F186" s="4"/>
    </row>
    <row r="187" spans="6:6" x14ac:dyDescent="0.25">
      <c r="F187" s="4"/>
    </row>
    <row r="188" spans="6:6" x14ac:dyDescent="0.25">
      <c r="F188" s="4"/>
    </row>
    <row r="189" spans="6:6" x14ac:dyDescent="0.25">
      <c r="F189" s="4"/>
    </row>
    <row r="190" spans="6:6" x14ac:dyDescent="0.25">
      <c r="F190" s="4"/>
    </row>
    <row r="191" spans="6:6" x14ac:dyDescent="0.25">
      <c r="F191" s="4"/>
    </row>
    <row r="192" spans="6:6" x14ac:dyDescent="0.25">
      <c r="F192" s="4"/>
    </row>
    <row r="193" spans="6:6" x14ac:dyDescent="0.25">
      <c r="F193" s="4"/>
    </row>
    <row r="194" spans="6:6" x14ac:dyDescent="0.25">
      <c r="F194" s="4"/>
    </row>
    <row r="195" spans="6:6" x14ac:dyDescent="0.25">
      <c r="F195" s="4"/>
    </row>
    <row r="196" spans="6:6" x14ac:dyDescent="0.25">
      <c r="F196" s="4"/>
    </row>
    <row r="197" spans="6:6" x14ac:dyDescent="0.25">
      <c r="F197" s="4"/>
    </row>
    <row r="198" spans="6:6" x14ac:dyDescent="0.25">
      <c r="F198" s="4"/>
    </row>
    <row r="199" spans="6:6" x14ac:dyDescent="0.25">
      <c r="F199" s="4"/>
    </row>
    <row r="200" spans="6:6" x14ac:dyDescent="0.25">
      <c r="F200" s="4"/>
    </row>
    <row r="201" spans="6:6" x14ac:dyDescent="0.25">
      <c r="F201" s="4"/>
    </row>
    <row r="202" spans="6:6" x14ac:dyDescent="0.25">
      <c r="F202" s="4"/>
    </row>
    <row r="203" spans="6:6" x14ac:dyDescent="0.25">
      <c r="F203" s="4"/>
    </row>
    <row r="204" spans="6:6" x14ac:dyDescent="0.25">
      <c r="F204" s="4"/>
    </row>
    <row r="205" spans="6:6" x14ac:dyDescent="0.25">
      <c r="F205" s="4"/>
    </row>
    <row r="206" spans="6:6" x14ac:dyDescent="0.25">
      <c r="F206" s="4"/>
    </row>
    <row r="207" spans="6:6" x14ac:dyDescent="0.25">
      <c r="F207" s="4"/>
    </row>
    <row r="208" spans="6:6" x14ac:dyDescent="0.25">
      <c r="F208" s="4"/>
    </row>
    <row r="209" spans="6:6" x14ac:dyDescent="0.25">
      <c r="F209" s="4"/>
    </row>
    <row r="210" spans="6:6" x14ac:dyDescent="0.25">
      <c r="F210" s="4"/>
    </row>
    <row r="211" spans="6:6" x14ac:dyDescent="0.25">
      <c r="F211" s="4"/>
    </row>
    <row r="212" spans="6:6" x14ac:dyDescent="0.25">
      <c r="F212" s="4"/>
    </row>
    <row r="213" spans="6:6" x14ac:dyDescent="0.25">
      <c r="F213" s="4"/>
    </row>
    <row r="214" spans="6:6" x14ac:dyDescent="0.25">
      <c r="F214" s="4"/>
    </row>
    <row r="215" spans="6:6" x14ac:dyDescent="0.25">
      <c r="F215" s="4"/>
    </row>
    <row r="216" spans="6:6" x14ac:dyDescent="0.25">
      <c r="F216" s="4"/>
    </row>
    <row r="217" spans="6:6" x14ac:dyDescent="0.25">
      <c r="F217" s="4"/>
    </row>
    <row r="218" spans="6:6" x14ac:dyDescent="0.25">
      <c r="F218" s="4"/>
    </row>
    <row r="219" spans="6:6" x14ac:dyDescent="0.25">
      <c r="F219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timing_marks</vt:lpstr>
      <vt:lpstr>excel_format_conversion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Hochuli</dc:creator>
  <cp:lastModifiedBy>Raul Hochuli</cp:lastModifiedBy>
  <dcterms:created xsi:type="dcterms:W3CDTF">2025-05-20T09:14:42Z</dcterms:created>
  <dcterms:modified xsi:type="dcterms:W3CDTF">2025-05-20T10:58:16Z</dcterms:modified>
</cp:coreProperties>
</file>